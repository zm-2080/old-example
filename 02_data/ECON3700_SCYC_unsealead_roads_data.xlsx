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q-my.sharepoint.com/personal/uqmmohda_uq_edu_au/Documents/UQ Teaching/2026_Semester 2/ECON3700_S2_2026/Assessments/Case Study/"/>
    </mc:Choice>
  </mc:AlternateContent>
  <xr:revisionPtr revIDLastSave="1023" documentId="8_{D3C72336-367E-4D4D-AE7C-250027EA62FF}" xr6:coauthVersionLast="47" xr6:coauthVersionMax="47" xr10:uidLastSave="{C771EFC9-09C1-4A08-BE2A-37129046DE89}"/>
  <bookViews>
    <workbookView xWindow="-120" yWindow="-120" windowWidth="29040" windowHeight="15720" xr2:uid="{05F0D355-CEB9-476D-AAEB-E6D5FAB6E27F}"/>
  </bookViews>
  <sheets>
    <sheet name="Inputs" sheetId="1" r:id="rId1"/>
    <sheet name="DC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2" i="1" l="1"/>
  <c r="C5" i="1"/>
  <c r="C13" i="2"/>
  <c r="C8" i="1"/>
  <c r="D13" i="2" l="1"/>
  <c r="E13" i="2" l="1"/>
  <c r="F13" i="2" l="1"/>
  <c r="G13" i="2" l="1"/>
  <c r="H13" i="2" l="1"/>
  <c r="I13" i="2" l="1"/>
  <c r="J13" i="2" l="1"/>
  <c r="K13" i="2" l="1"/>
  <c r="L13" i="2" l="1"/>
  <c r="M13" i="2" l="1"/>
  <c r="N13" i="2" l="1"/>
  <c r="O13" i="2" l="1"/>
  <c r="P13" i="2" l="1"/>
  <c r="Q13" i="2" l="1"/>
  <c r="R13" i="2" l="1"/>
  <c r="S13" i="2" l="1"/>
  <c r="T13" i="2" l="1"/>
  <c r="U13" i="2" l="1"/>
  <c r="V13" i="2" l="1"/>
  <c r="W13" i="2" l="1"/>
  <c r="X13" i="2" l="1"/>
  <c r="Y13" i="2" l="1"/>
  <c r="Z13" i="2" l="1"/>
  <c r="AA13" i="2" l="1"/>
  <c r="AB13" i="2" l="1"/>
  <c r="AC13" i="2" l="1"/>
  <c r="AD13" i="2" l="1"/>
  <c r="AE13" i="2" l="1"/>
  <c r="AF13" i="2" l="1"/>
</calcChain>
</file>

<file path=xl/sharedStrings.xml><?xml version="1.0" encoding="utf-8"?>
<sst xmlns="http://schemas.openxmlformats.org/spreadsheetml/2006/main" count="183" uniqueCount="115">
  <si>
    <t>Value</t>
  </si>
  <si>
    <t>Discount rate</t>
  </si>
  <si>
    <t>%</t>
  </si>
  <si>
    <t>Analysis period</t>
  </si>
  <si>
    <t>years</t>
  </si>
  <si>
    <t xml:space="preserve">Analysis start year </t>
  </si>
  <si>
    <t>year (FY)</t>
  </si>
  <si>
    <t xml:space="preserve">Analysis end year </t>
  </si>
  <si>
    <t>Oaky Creek Road length</t>
  </si>
  <si>
    <t>km</t>
  </si>
  <si>
    <t>Percy Road length</t>
  </si>
  <si>
    <t>Total road length</t>
  </si>
  <si>
    <t>No. of stream crossings per km</t>
  </si>
  <si>
    <t>No.</t>
  </si>
  <si>
    <t>Total no. of kms (crest to crest) stream crossings</t>
  </si>
  <si>
    <t>Oaky Creek Road no. of km (crest to crest) stream crossings</t>
  </si>
  <si>
    <t>Percy Road no. of km (crest to crest) stream crossings</t>
  </si>
  <si>
    <t>Infrastructure Australia guidelines for Economic Appraisal</t>
  </si>
  <si>
    <t>Assumption</t>
  </si>
  <si>
    <t>Capital costs</t>
  </si>
  <si>
    <t>Concrete floodway</t>
  </si>
  <si>
    <t>Rock floodway</t>
  </si>
  <si>
    <t>Rock mulch, rock grade control structures, and gully rock chutes</t>
  </si>
  <si>
    <t>Bitumen dust seal</t>
  </si>
  <si>
    <t>Grading to prepare road surface for bitumen dust seal</t>
  </si>
  <si>
    <t>AUD$/crossing</t>
  </si>
  <si>
    <t>AUD$/km</t>
  </si>
  <si>
    <t>Ongoing costs</t>
  </si>
  <si>
    <t>Business-as-usual maintenance Oaky Creek Road</t>
  </si>
  <si>
    <t>AUD$/km/year</t>
  </si>
  <si>
    <t>Business-as-usual maintenance Percy Road</t>
  </si>
  <si>
    <t>% of business-as-usual maintenance costs in Alternative Maintenance scenario</t>
  </si>
  <si>
    <t>% of business-as-usual maintenance costs in Major Erosion Control scenario</t>
  </si>
  <si>
    <t>Invasive grader grass spraying (non-selective herbicides)</t>
  </si>
  <si>
    <t>Year 1 and 2</t>
  </si>
  <si>
    <t>Year 3 onwards</t>
  </si>
  <si>
    <t>Woody weeds (broadleaf herbicide)</t>
  </si>
  <si>
    <t>Year 1</t>
  </si>
  <si>
    <t>Year 2 follow up</t>
  </si>
  <si>
    <t>Year 3 follow up</t>
  </si>
  <si>
    <t>Year 4 onwards</t>
  </si>
  <si>
    <t>Maintenance of bitumen dust seal</t>
  </si>
  <si>
    <t>AUD$/km/year r</t>
  </si>
  <si>
    <t>Drain cleaning in Full Betterment scenario</t>
  </si>
  <si>
    <t>Erosion rates</t>
  </si>
  <si>
    <t>Scenario 1: business-as-usual</t>
  </si>
  <si>
    <t>tons/km/year &lt; 20 µm</t>
  </si>
  <si>
    <t>Scenario 2: alternative maintenance</t>
  </si>
  <si>
    <t>Scenario 3: major erosion control</t>
  </si>
  <si>
    <t>Scenario 4: full betterment</t>
  </si>
  <si>
    <t>Shellberg, et al. (2026)</t>
  </si>
  <si>
    <t>Provided by Cook Shire Council, applied to Scenarios 3,4</t>
  </si>
  <si>
    <t>Provided by Cook Shire Council, applied to Scenario 4</t>
  </si>
  <si>
    <t>Provided by Cook Shire Council, applied to Scenario 1</t>
  </si>
  <si>
    <t>Provided by Cook Shire Council, applied to Scenarios 2,3</t>
  </si>
  <si>
    <t>Avoided abatement costs</t>
  </si>
  <si>
    <t>AUD$/ton/year</t>
  </si>
  <si>
    <t>Analysis period (years)</t>
  </si>
  <si>
    <t>Total road length (km)</t>
  </si>
  <si>
    <t>Stream crossings treated (no.)</t>
  </si>
  <si>
    <t>Scenario 1: Business-as-usual (base case)</t>
  </si>
  <si>
    <t>Scenario 2: Alternative maintenance</t>
  </si>
  <si>
    <t>Cost-Benefit Analysis — Unsealed Roads: Simplified Discounted Cash Flow</t>
  </si>
  <si>
    <t>Key parameters</t>
  </si>
  <si>
    <t>Crest-to-crest crossing length (km)</t>
  </si>
  <si>
    <t>Maintenance in Scenarios 2 &amp; 3 (% of BAU)</t>
  </si>
  <si>
    <t>Present value</t>
  </si>
  <si>
    <t>Discount factor</t>
  </si>
  <si>
    <t xml:space="preserve">   Maintenance — Oaky Creek Road</t>
  </si>
  <si>
    <t xml:space="preserve">   Maintenance — Percy Road</t>
  </si>
  <si>
    <t>Total financial costs</t>
  </si>
  <si>
    <t xml:space="preserve">   Sediment delivered to reef (t/yr &lt;20µm)</t>
  </si>
  <si>
    <t xml:space="preserve">   Cost of sediment delivery to the reef</t>
  </si>
  <si>
    <t>Total costs (financial + environmental)</t>
  </si>
  <si>
    <t xml:space="preserve">   Invasive grader grass spraying</t>
  </si>
  <si>
    <t xml:space="preserve">   Woody weeds (broadleaf herbicide)</t>
  </si>
  <si>
    <t>Scenario 3: Major erosion control (betterment)</t>
  </si>
  <si>
    <t xml:space="preserve">   Capital — concrete floodway</t>
  </si>
  <si>
    <t xml:space="preserve">   Capital — rock floodway</t>
  </si>
  <si>
    <t xml:space="preserve">   Capital — rock mulch, grade control structures, gully rock chutes</t>
  </si>
  <si>
    <t>Scenario 4: Full betterment (bitumen)</t>
  </si>
  <si>
    <t xml:space="preserve">   Capital — bitumen dust seal</t>
  </si>
  <si>
    <t xml:space="preserve">   Capital — grading to prepare road surface</t>
  </si>
  <si>
    <t xml:space="preserve">   Maintenance — Oaky Creek Road (gravel, FY2025 only)</t>
  </si>
  <si>
    <t xml:space="preserve">   Maintenance — Percy Road (gravel, FY2025 only)</t>
  </si>
  <si>
    <t xml:space="preserve">   Maintenance of bitumen dust seal</t>
  </si>
  <si>
    <t xml:space="preserve">   Drain cleaning</t>
  </si>
  <si>
    <t>Measure</t>
  </si>
  <si>
    <t>Scenario 1</t>
  </si>
  <si>
    <t>Scenario 2</t>
  </si>
  <si>
    <t>Scenario 3</t>
  </si>
  <si>
    <t>Scenario 4</t>
  </si>
  <si>
    <t>PV costs (financial)</t>
  </si>
  <si>
    <t>PV costs (financial + environmental)</t>
  </si>
  <si>
    <t>Relative to business-as-usual</t>
  </si>
  <si>
    <t>n/a</t>
  </si>
  <si>
    <t>PV benefit — reduced sediment delivery</t>
  </si>
  <si>
    <t>NPV (financial only)</t>
  </si>
  <si>
    <t>Doshi, et al (2026), indexed to 2026 dollars</t>
  </si>
  <si>
    <t>Indexation factor FY2024 → FY2026</t>
  </si>
  <si>
    <t>ratio</t>
  </si>
  <si>
    <t>Calculated</t>
  </si>
  <si>
    <t>Avoided abatement cost value (FY2026 dollars)</t>
  </si>
  <si>
    <t>Doshi, et al (2026), indexed from FY2024 to FY2026 using ABS All groups CPI</t>
  </si>
  <si>
    <t>Avoided abatement cost value (FY2024 dollars)</t>
  </si>
  <si>
    <t>Sediment abatement value ($/t &lt;20µm, FY2026 dollars)</t>
  </si>
  <si>
    <t>Cost-effectiveness of sediment reduction</t>
  </si>
  <si>
    <t>Sediment abated vs BAU over the appraisal period (t, undiscounted)</t>
  </si>
  <si>
    <t>Input</t>
  </si>
  <si>
    <t>Unit</t>
  </si>
  <si>
    <t>Based on</t>
  </si>
  <si>
    <t>PV net financial cost (all capital + operating, net of avoided BAU maintenance)</t>
  </si>
  <si>
    <t>Cost-effectiveness — PV financial cost per tonne abated</t>
  </si>
  <si>
    <t>NPV (financial + environmental) (BCR should not be calculated)</t>
  </si>
  <si>
    <t>Results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</si>
</sst>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0.0"/>
    <numFmt numFmtId="165" formatCode="_-* #,##0_-;\-* #,##0_-;_-* &quot;-&quot;??_-;_-@_-"/>
    <numFmt numFmtId="166" formatCode="0.0%"/>
    <numFmt numFmtId="167" formatCode="&quot;$&quot;#,##0"/>
    <numFmt numFmtId="168" formatCode="0.000"/>
    <numFmt numFmtId="169" formatCode="&quot;$&quot;#,##0;\(&quot;$&quot;#,##0\);\-"/>
    <numFmt numFmtId="170" formatCode="#,##0.0"/>
    <numFmt numFmtId="171" formatCode="0.0000"/>
    <numFmt numFmtId="172" formatCode="&quot;$&quot;#,##0.00;\(&quot;$&quot;#,##0.00\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venir Next LT Pro"/>
      <family val="2"/>
    </font>
    <font>
      <i/>
      <sz val="11"/>
      <color theme="1"/>
      <name val="Avenir Next LT Pro"/>
      <family val="2"/>
    </font>
    <font>
      <sz val="12"/>
      <name val="Avenir Next LT Pro"/>
      <family val="2"/>
    </font>
    <font>
      <b/>
      <sz val="11"/>
      <color theme="1"/>
      <name val="Avenir Next LT Pro"/>
      <family val="2"/>
    </font>
    <font>
      <b/>
      <sz val="14"/>
      <color theme="1"/>
      <name val="Avenir Next LT Pro"/>
      <family val="2"/>
    </font>
    <font>
      <i/>
      <sz val="11"/>
      <color rgb="FF595959"/>
      <name val="Avenir Next LT Pro"/>
      <family val="2"/>
    </font>
    <font>
      <sz val="11"/>
      <color rgb="FF008000"/>
      <name val="Avenir Next LT Pro"/>
      <family val="2"/>
    </font>
    <font>
      <b/>
      <sz val="12"/>
      <color theme="1"/>
      <name val="Avenir Next LT Pro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rgb="FF87CFC3"/>
      </top>
      <bottom style="thin">
        <color rgb="FF87CFC3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7">
    <xf numFmtId="0" fontId="0" fillId="0" borderId="0" xfId="0"/>
    <xf numFmtId="0" fontId="3" fillId="0" borderId="0" xfId="0" applyFont="1"/>
    <xf numFmtId="0" fontId="6" fillId="3" borderId="0" xfId="0" applyFont="1" applyFill="1"/>
    <xf numFmtId="0" fontId="7" fillId="0" borderId="0" xfId="0" applyFont="1"/>
    <xf numFmtId="0" fontId="8" fillId="0" borderId="0" xfId="0" applyFont="1"/>
    <xf numFmtId="167" fontId="3" fillId="0" borderId="0" xfId="0" applyNumberFormat="1" applyFont="1"/>
    <xf numFmtId="0" fontId="6" fillId="3" borderId="1" xfId="0" applyFont="1" applyFill="1" applyBorder="1"/>
    <xf numFmtId="0" fontId="6" fillId="3" borderId="2" xfId="0" applyFont="1" applyFill="1" applyBorder="1"/>
    <xf numFmtId="0" fontId="6" fillId="3" borderId="3" xfId="0" applyFont="1" applyFill="1" applyBorder="1"/>
    <xf numFmtId="0" fontId="3" fillId="0" borderId="4" xfId="0" applyFont="1" applyBorder="1"/>
    <xf numFmtId="0" fontId="4" fillId="0" borderId="0" xfId="0" applyFont="1" applyBorder="1"/>
    <xf numFmtId="9" fontId="3" fillId="0" borderId="0" xfId="0" applyNumberFormat="1" applyFont="1" applyBorder="1"/>
    <xf numFmtId="0" fontId="5" fillId="0" borderId="5" xfId="0" applyFont="1" applyBorder="1" applyAlignment="1">
      <alignment vertical="top" wrapText="1"/>
    </xf>
    <xf numFmtId="0" fontId="3" fillId="0" borderId="0" xfId="0" applyFont="1" applyBorder="1"/>
    <xf numFmtId="0" fontId="3" fillId="0" borderId="6" xfId="0" applyFont="1" applyBorder="1"/>
    <xf numFmtId="164" fontId="3" fillId="0" borderId="0" xfId="0" applyNumberFormat="1" applyFont="1" applyBorder="1"/>
    <xf numFmtId="0" fontId="6" fillId="3" borderId="4" xfId="0" applyFont="1" applyFill="1" applyBorder="1"/>
    <xf numFmtId="0" fontId="6" fillId="3" borderId="0" xfId="0" applyFont="1" applyFill="1" applyBorder="1"/>
    <xf numFmtId="0" fontId="6" fillId="3" borderId="6" xfId="0" applyFont="1" applyFill="1" applyBorder="1"/>
    <xf numFmtId="165" fontId="3" fillId="0" borderId="0" xfId="1" applyNumberFormat="1" applyFont="1" applyBorder="1"/>
    <xf numFmtId="3" fontId="3" fillId="0" borderId="0" xfId="0" applyNumberFormat="1" applyFont="1" applyBorder="1"/>
    <xf numFmtId="165" fontId="3" fillId="2" borderId="0" xfId="1" applyNumberFormat="1" applyFont="1" applyFill="1" applyBorder="1"/>
    <xf numFmtId="0" fontId="3" fillId="2" borderId="6" xfId="0" applyFont="1" applyFill="1" applyBorder="1"/>
    <xf numFmtId="171" fontId="3" fillId="2" borderId="0" xfId="0" applyNumberFormat="1" applyFont="1" applyFill="1" applyBorder="1"/>
    <xf numFmtId="0" fontId="6" fillId="0" borderId="7" xfId="0" applyFont="1" applyBorder="1"/>
    <xf numFmtId="0" fontId="3" fillId="0" borderId="8" xfId="0" applyFont="1" applyBorder="1"/>
    <xf numFmtId="165" fontId="3" fillId="2" borderId="8" xfId="1" applyNumberFormat="1" applyFont="1" applyFill="1" applyBorder="1"/>
    <xf numFmtId="0" fontId="3" fillId="2" borderId="9" xfId="0" applyFont="1" applyFill="1" applyBorder="1"/>
    <xf numFmtId="0" fontId="3" fillId="0" borderId="7" xfId="0" applyFont="1" applyBorder="1"/>
    <xf numFmtId="0" fontId="6" fillId="3" borderId="10" xfId="0" applyFont="1" applyFill="1" applyBorder="1"/>
    <xf numFmtId="0" fontId="3" fillId="3" borderId="11" xfId="0" applyFont="1" applyFill="1" applyBorder="1"/>
    <xf numFmtId="0" fontId="3" fillId="0" borderId="1" xfId="0" applyFont="1" applyBorder="1"/>
    <xf numFmtId="0" fontId="6" fillId="0" borderId="2" xfId="0" applyFont="1" applyBorder="1" applyAlignment="1">
      <alignment horizontal="right"/>
    </xf>
    <xf numFmtId="1" fontId="6" fillId="0" borderId="2" xfId="0" applyNumberFormat="1" applyFont="1" applyBorder="1" applyAlignment="1">
      <alignment horizontal="center"/>
    </xf>
    <xf numFmtId="1" fontId="6" fillId="0" borderId="3" xfId="0" applyNumberFormat="1" applyFont="1" applyBorder="1" applyAlignment="1">
      <alignment horizontal="center"/>
    </xf>
    <xf numFmtId="166" fontId="9" fillId="2" borderId="6" xfId="0" applyNumberFormat="1" applyFont="1" applyFill="1" applyBorder="1"/>
    <xf numFmtId="1" fontId="9" fillId="2" borderId="6" xfId="0" applyNumberFormat="1" applyFont="1" applyFill="1" applyBorder="1"/>
    <xf numFmtId="164" fontId="9" fillId="2" borderId="6" xfId="0" applyNumberFormat="1" applyFont="1" applyFill="1" applyBorder="1"/>
    <xf numFmtId="164" fontId="3" fillId="2" borderId="6" xfId="0" applyNumberFormat="1" applyFont="1" applyFill="1" applyBorder="1"/>
    <xf numFmtId="168" fontId="9" fillId="2" borderId="6" xfId="0" applyNumberFormat="1" applyFont="1" applyFill="1" applyBorder="1"/>
    <xf numFmtId="167" fontId="9" fillId="2" borderId="6" xfId="0" applyNumberFormat="1" applyFont="1" applyFill="1" applyBorder="1"/>
    <xf numFmtId="9" fontId="9" fillId="2" borderId="9" xfId="0" applyNumberFormat="1" applyFont="1" applyFill="1" applyBorder="1"/>
    <xf numFmtId="171" fontId="3" fillId="2" borderId="8" xfId="0" applyNumberFormat="1" applyFont="1" applyFill="1" applyBorder="1"/>
    <xf numFmtId="171" fontId="3" fillId="2" borderId="9" xfId="0" applyNumberFormat="1" applyFont="1" applyFill="1" applyBorder="1"/>
    <xf numFmtId="0" fontId="3" fillId="0" borderId="2" xfId="0" applyFont="1" applyBorder="1"/>
    <xf numFmtId="0" fontId="3" fillId="0" borderId="3" xfId="0" applyFont="1" applyBorder="1"/>
    <xf numFmtId="169" fontId="3" fillId="0" borderId="0" xfId="0" applyNumberFormat="1" applyFont="1" applyBorder="1"/>
    <xf numFmtId="169" fontId="3" fillId="0" borderId="6" xfId="0" applyNumberFormat="1" applyFont="1" applyBorder="1"/>
    <xf numFmtId="0" fontId="6" fillId="0" borderId="4" xfId="0" applyFont="1" applyBorder="1"/>
    <xf numFmtId="169" fontId="6" fillId="0" borderId="0" xfId="0" applyNumberFormat="1" applyFont="1" applyBorder="1"/>
    <xf numFmtId="169" fontId="6" fillId="0" borderId="6" xfId="0" applyNumberFormat="1" applyFont="1" applyBorder="1"/>
    <xf numFmtId="170" fontId="3" fillId="0" borderId="0" xfId="0" applyNumberFormat="1" applyFont="1" applyBorder="1"/>
    <xf numFmtId="170" fontId="3" fillId="0" borderId="6" xfId="0" applyNumberFormat="1" applyFont="1" applyBorder="1"/>
    <xf numFmtId="0" fontId="3" fillId="0" borderId="9" xfId="0" applyFont="1" applyBorder="1"/>
    <xf numFmtId="0" fontId="10" fillId="0" borderId="4" xfId="0" applyFont="1" applyBorder="1"/>
    <xf numFmtId="0" fontId="6" fillId="3" borderId="0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169" fontId="3" fillId="2" borderId="0" xfId="0" applyNumberFormat="1" applyFont="1" applyFill="1" applyBorder="1"/>
    <xf numFmtId="169" fontId="3" fillId="2" borderId="6" xfId="0" applyNumberFormat="1" applyFont="1" applyFill="1" applyBorder="1"/>
    <xf numFmtId="0" fontId="0" fillId="0" borderId="0" xfId="0" applyBorder="1"/>
    <xf numFmtId="0" fontId="0" fillId="0" borderId="6" xfId="0" applyBorder="1"/>
    <xf numFmtId="0" fontId="0" fillId="0" borderId="0" xfId="0" applyBorder="1" applyAlignment="1">
      <alignment horizontal="right"/>
    </xf>
    <xf numFmtId="169" fontId="0" fillId="2" borderId="0" xfId="0" applyNumberFormat="1" applyFill="1" applyBorder="1"/>
    <xf numFmtId="169" fontId="0" fillId="2" borderId="6" xfId="0" applyNumberFormat="1" applyFill="1" applyBorder="1"/>
    <xf numFmtId="0" fontId="0" fillId="0" borderId="4" xfId="0" applyBorder="1"/>
    <xf numFmtId="169" fontId="2" fillId="2" borderId="0" xfId="0" applyNumberFormat="1" applyFont="1" applyFill="1" applyBorder="1"/>
    <xf numFmtId="169" fontId="2" fillId="2" borderId="6" xfId="0" applyNumberFormat="1" applyFont="1" applyFill="1" applyBorder="1"/>
    <xf numFmtId="0" fontId="2" fillId="0" borderId="4" xfId="0" applyFont="1" applyBorder="1"/>
    <xf numFmtId="0" fontId="2" fillId="3" borderId="4" xfId="0" applyFont="1" applyFill="1" applyBorder="1"/>
    <xf numFmtId="3" fontId="0" fillId="2" borderId="0" xfId="0" applyNumberFormat="1" applyFill="1" applyBorder="1"/>
    <xf numFmtId="3" fontId="0" fillId="2" borderId="6" xfId="0" applyNumberFormat="1" applyFill="1" applyBorder="1"/>
    <xf numFmtId="172" fontId="2" fillId="2" borderId="0" xfId="0" applyNumberFormat="1" applyFont="1" applyFill="1" applyBorder="1"/>
    <xf numFmtId="172" fontId="2" fillId="2" borderId="6" xfId="0" applyNumberFormat="1" applyFont="1" applyFill="1" applyBorder="1"/>
    <xf numFmtId="0" fontId="0" fillId="0" borderId="7" xfId="0" applyBorder="1"/>
    <xf numFmtId="167" fontId="0" fillId="0" borderId="8" xfId="0" applyNumberFormat="1" applyBorder="1"/>
    <xf numFmtId="0" fontId="0" fillId="0" borderId="8" xfId="0" applyBorder="1"/>
    <xf numFmtId="0" fontId="0" fillId="0" borderId="9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00F8CD3-636B-4047-8E60-8ADB6BD6BB59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38810949-ecde-4ad3-995e-211ce2da503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03160-DBB7-4B38-BBAF-3C3DA6E8988B}">
  <sheetPr>
    <tabColor rgb="FFFF0000"/>
  </sheetPr>
  <dimension ref="A1:D42"/>
  <sheetViews>
    <sheetView tabSelected="1" zoomScaleNormal="100" workbookViewId="0"/>
  </sheetViews>
  <sheetFormatPr defaultRowHeight="15" x14ac:dyDescent="0.25"/>
  <cols>
    <col min="1" max="1" width="81.85546875" style="1" bestFit="1" customWidth="1"/>
    <col min="2" max="2" width="17.7109375" style="1" bestFit="1" customWidth="1"/>
    <col min="3" max="3" width="14.28515625" style="1" bestFit="1" customWidth="1"/>
    <col min="4" max="4" width="116.140625" style="1" customWidth="1"/>
    <col min="5" max="16384" width="9.140625" style="1"/>
  </cols>
  <sheetData>
    <row r="1" spans="1:4" s="2" customFormat="1" x14ac:dyDescent="0.25">
      <c r="A1" s="6" t="s">
        <v>108</v>
      </c>
      <c r="B1" s="7" t="s">
        <v>109</v>
      </c>
      <c r="C1" s="7" t="s">
        <v>0</v>
      </c>
      <c r="D1" s="8" t="s">
        <v>110</v>
      </c>
    </row>
    <row r="2" spans="1:4" ht="15.75" x14ac:dyDescent="0.25">
      <c r="A2" s="9" t="s">
        <v>1</v>
      </c>
      <c r="B2" s="10" t="s">
        <v>2</v>
      </c>
      <c r="C2" s="11">
        <v>7.0000000000000007E-2</v>
      </c>
      <c r="D2" s="12" t="s">
        <v>17</v>
      </c>
    </row>
    <row r="3" spans="1:4" ht="15.75" x14ac:dyDescent="0.25">
      <c r="A3" s="9" t="s">
        <v>3</v>
      </c>
      <c r="B3" s="10" t="s">
        <v>4</v>
      </c>
      <c r="C3" s="13">
        <v>30</v>
      </c>
      <c r="D3" s="12" t="s">
        <v>18</v>
      </c>
    </row>
    <row r="4" spans="1:4" x14ac:dyDescent="0.25">
      <c r="A4" s="9" t="s">
        <v>5</v>
      </c>
      <c r="B4" s="10" t="s">
        <v>6</v>
      </c>
      <c r="C4" s="13">
        <v>2026</v>
      </c>
      <c r="D4" s="14"/>
    </row>
    <row r="5" spans="1:4" x14ac:dyDescent="0.25">
      <c r="A5" s="9" t="s">
        <v>7</v>
      </c>
      <c r="B5" s="10" t="s">
        <v>6</v>
      </c>
      <c r="C5" s="13">
        <f>C4+30</f>
        <v>2056</v>
      </c>
      <c r="D5" s="14"/>
    </row>
    <row r="6" spans="1:4" x14ac:dyDescent="0.25">
      <c r="A6" s="9" t="s">
        <v>8</v>
      </c>
      <c r="B6" s="10" t="s">
        <v>9</v>
      </c>
      <c r="C6" s="13">
        <v>17</v>
      </c>
      <c r="D6" s="14"/>
    </row>
    <row r="7" spans="1:4" x14ac:dyDescent="0.25">
      <c r="A7" s="9" t="s">
        <v>10</v>
      </c>
      <c r="B7" s="10" t="s">
        <v>9</v>
      </c>
      <c r="C7" s="13">
        <v>4.5</v>
      </c>
      <c r="D7" s="14"/>
    </row>
    <row r="8" spans="1:4" x14ac:dyDescent="0.25">
      <c r="A8" s="9" t="s">
        <v>11</v>
      </c>
      <c r="B8" s="10" t="s">
        <v>9</v>
      </c>
      <c r="C8" s="13">
        <f>SUM(C6:C7)</f>
        <v>21.5</v>
      </c>
      <c r="D8" s="14"/>
    </row>
    <row r="9" spans="1:4" x14ac:dyDescent="0.25">
      <c r="A9" s="9" t="s">
        <v>12</v>
      </c>
      <c r="B9" s="10" t="s">
        <v>13</v>
      </c>
      <c r="C9" s="13">
        <v>1</v>
      </c>
      <c r="D9" s="14"/>
    </row>
    <row r="10" spans="1:4" x14ac:dyDescent="0.25">
      <c r="A10" s="9" t="s">
        <v>15</v>
      </c>
      <c r="B10" s="10" t="s">
        <v>9</v>
      </c>
      <c r="C10" s="15">
        <v>7.0979999999999999</v>
      </c>
      <c r="D10" s="14"/>
    </row>
    <row r="11" spans="1:4" x14ac:dyDescent="0.25">
      <c r="A11" s="9" t="s">
        <v>16</v>
      </c>
      <c r="B11" s="10" t="s">
        <v>9</v>
      </c>
      <c r="C11" s="15">
        <v>2.907</v>
      </c>
      <c r="D11" s="14"/>
    </row>
    <row r="12" spans="1:4" x14ac:dyDescent="0.25">
      <c r="A12" s="9" t="s">
        <v>14</v>
      </c>
      <c r="B12" s="10" t="s">
        <v>9</v>
      </c>
      <c r="C12" s="15">
        <f>SUM(C10:C11)</f>
        <v>10.004999999999999</v>
      </c>
      <c r="D12" s="14"/>
    </row>
    <row r="13" spans="1:4" s="2" customFormat="1" x14ac:dyDescent="0.25">
      <c r="A13" s="16" t="s">
        <v>19</v>
      </c>
      <c r="B13" s="17"/>
      <c r="C13" s="17"/>
      <c r="D13" s="18"/>
    </row>
    <row r="14" spans="1:4" x14ac:dyDescent="0.25">
      <c r="A14" s="9" t="s">
        <v>20</v>
      </c>
      <c r="B14" s="13" t="s">
        <v>25</v>
      </c>
      <c r="C14" s="19">
        <v>60000</v>
      </c>
      <c r="D14" s="14" t="s">
        <v>51</v>
      </c>
    </row>
    <row r="15" spans="1:4" x14ac:dyDescent="0.25">
      <c r="A15" s="9" t="s">
        <v>21</v>
      </c>
      <c r="B15" s="13" t="s">
        <v>25</v>
      </c>
      <c r="C15" s="19">
        <v>30000</v>
      </c>
      <c r="D15" s="14" t="s">
        <v>51</v>
      </c>
    </row>
    <row r="16" spans="1:4" x14ac:dyDescent="0.25">
      <c r="A16" s="9" t="s">
        <v>22</v>
      </c>
      <c r="B16" s="13" t="s">
        <v>25</v>
      </c>
      <c r="C16" s="19">
        <v>25000</v>
      </c>
      <c r="D16" s="14" t="s">
        <v>51</v>
      </c>
    </row>
    <row r="17" spans="1:4" x14ac:dyDescent="0.25">
      <c r="A17" s="9" t="s">
        <v>23</v>
      </c>
      <c r="B17" s="13" t="s">
        <v>26</v>
      </c>
      <c r="C17" s="19">
        <v>110000</v>
      </c>
      <c r="D17" s="14" t="s">
        <v>52</v>
      </c>
    </row>
    <row r="18" spans="1:4" x14ac:dyDescent="0.25">
      <c r="A18" s="9" t="s">
        <v>24</v>
      </c>
      <c r="B18" s="13" t="s">
        <v>26</v>
      </c>
      <c r="C18" s="19">
        <v>5000</v>
      </c>
      <c r="D18" s="14" t="s">
        <v>52</v>
      </c>
    </row>
    <row r="19" spans="1:4" s="2" customFormat="1" x14ac:dyDescent="0.25">
      <c r="A19" s="16" t="s">
        <v>27</v>
      </c>
      <c r="B19" s="17"/>
      <c r="C19" s="17"/>
      <c r="D19" s="18"/>
    </row>
    <row r="20" spans="1:4" x14ac:dyDescent="0.25">
      <c r="A20" s="9" t="s">
        <v>28</v>
      </c>
      <c r="B20" s="13" t="s">
        <v>29</v>
      </c>
      <c r="C20" s="20">
        <v>19720</v>
      </c>
      <c r="D20" s="14" t="s">
        <v>53</v>
      </c>
    </row>
    <row r="21" spans="1:4" x14ac:dyDescent="0.25">
      <c r="A21" s="9" t="s">
        <v>30</v>
      </c>
      <c r="B21" s="13" t="s">
        <v>29</v>
      </c>
      <c r="C21" s="20">
        <v>19888</v>
      </c>
      <c r="D21" s="14" t="s">
        <v>53</v>
      </c>
    </row>
    <row r="22" spans="1:4" x14ac:dyDescent="0.25">
      <c r="A22" s="9" t="s">
        <v>31</v>
      </c>
      <c r="B22" s="13" t="s">
        <v>2</v>
      </c>
      <c r="C22" s="20">
        <v>70</v>
      </c>
      <c r="D22" s="14" t="s">
        <v>53</v>
      </c>
    </row>
    <row r="23" spans="1:4" x14ac:dyDescent="0.25">
      <c r="A23" s="9" t="s">
        <v>32</v>
      </c>
      <c r="B23" s="13" t="s">
        <v>2</v>
      </c>
      <c r="C23" s="20">
        <v>70</v>
      </c>
      <c r="D23" s="14" t="s">
        <v>53</v>
      </c>
    </row>
    <row r="24" spans="1:4" x14ac:dyDescent="0.25">
      <c r="A24" s="9" t="s">
        <v>33</v>
      </c>
      <c r="B24" s="13"/>
      <c r="C24" s="20"/>
      <c r="D24" s="14"/>
    </row>
    <row r="25" spans="1:4" x14ac:dyDescent="0.25">
      <c r="A25" s="9" t="s">
        <v>34</v>
      </c>
      <c r="B25" s="13" t="s">
        <v>29</v>
      </c>
      <c r="C25" s="20">
        <v>1500</v>
      </c>
      <c r="D25" s="14" t="s">
        <v>54</v>
      </c>
    </row>
    <row r="26" spans="1:4" x14ac:dyDescent="0.25">
      <c r="A26" s="9" t="s">
        <v>35</v>
      </c>
      <c r="B26" s="13" t="s">
        <v>29</v>
      </c>
      <c r="C26" s="20">
        <v>800</v>
      </c>
      <c r="D26" s="14" t="s">
        <v>54</v>
      </c>
    </row>
    <row r="27" spans="1:4" x14ac:dyDescent="0.25">
      <c r="A27" s="9" t="s">
        <v>36</v>
      </c>
      <c r="B27" s="13"/>
      <c r="C27" s="20"/>
      <c r="D27" s="14"/>
    </row>
    <row r="28" spans="1:4" x14ac:dyDescent="0.25">
      <c r="A28" s="9" t="s">
        <v>37</v>
      </c>
      <c r="B28" s="13" t="s">
        <v>29</v>
      </c>
      <c r="C28" s="20">
        <v>2705</v>
      </c>
      <c r="D28" s="14" t="s">
        <v>54</v>
      </c>
    </row>
    <row r="29" spans="1:4" x14ac:dyDescent="0.25">
      <c r="A29" s="9" t="s">
        <v>38</v>
      </c>
      <c r="B29" s="13" t="s">
        <v>29</v>
      </c>
      <c r="C29" s="20">
        <v>1122</v>
      </c>
      <c r="D29" s="14" t="s">
        <v>54</v>
      </c>
    </row>
    <row r="30" spans="1:4" x14ac:dyDescent="0.25">
      <c r="A30" s="9" t="s">
        <v>39</v>
      </c>
      <c r="B30" s="13" t="s">
        <v>29</v>
      </c>
      <c r="C30" s="20">
        <v>650</v>
      </c>
      <c r="D30" s="14" t="s">
        <v>54</v>
      </c>
    </row>
    <row r="31" spans="1:4" x14ac:dyDescent="0.25">
      <c r="A31" s="9" t="s">
        <v>40</v>
      </c>
      <c r="B31" s="13" t="s">
        <v>29</v>
      </c>
      <c r="C31" s="20">
        <v>400</v>
      </c>
      <c r="D31" s="14" t="s">
        <v>54</v>
      </c>
    </row>
    <row r="32" spans="1:4" x14ac:dyDescent="0.25">
      <c r="A32" s="9" t="s">
        <v>41</v>
      </c>
      <c r="B32" s="13" t="s">
        <v>42</v>
      </c>
      <c r="C32" s="20">
        <v>5500</v>
      </c>
      <c r="D32" s="14" t="s">
        <v>52</v>
      </c>
    </row>
    <row r="33" spans="1:4" x14ac:dyDescent="0.25">
      <c r="A33" s="9" t="s">
        <v>43</v>
      </c>
      <c r="B33" s="13" t="s">
        <v>29</v>
      </c>
      <c r="C33" s="20">
        <v>200</v>
      </c>
      <c r="D33" s="14" t="s">
        <v>52</v>
      </c>
    </row>
    <row r="34" spans="1:4" s="2" customFormat="1" x14ac:dyDescent="0.25">
      <c r="A34" s="16" t="s">
        <v>44</v>
      </c>
      <c r="B34" s="17"/>
      <c r="C34" s="17"/>
      <c r="D34" s="18"/>
    </row>
    <row r="35" spans="1:4" x14ac:dyDescent="0.25">
      <c r="A35" s="9" t="s">
        <v>45</v>
      </c>
      <c r="B35" s="13" t="s">
        <v>46</v>
      </c>
      <c r="C35" s="13">
        <v>55.3</v>
      </c>
      <c r="D35" s="14" t="s">
        <v>50</v>
      </c>
    </row>
    <row r="36" spans="1:4" x14ac:dyDescent="0.25">
      <c r="A36" s="9" t="s">
        <v>47</v>
      </c>
      <c r="B36" s="13" t="s">
        <v>46</v>
      </c>
      <c r="C36" s="13">
        <v>46.5</v>
      </c>
      <c r="D36" s="14" t="s">
        <v>50</v>
      </c>
    </row>
    <row r="37" spans="1:4" x14ac:dyDescent="0.25">
      <c r="A37" s="9" t="s">
        <v>48</v>
      </c>
      <c r="B37" s="13" t="s">
        <v>46</v>
      </c>
      <c r="C37" s="13">
        <v>31.7</v>
      </c>
      <c r="D37" s="14" t="s">
        <v>50</v>
      </c>
    </row>
    <row r="38" spans="1:4" x14ac:dyDescent="0.25">
      <c r="A38" s="9" t="s">
        <v>49</v>
      </c>
      <c r="B38" s="13" t="s">
        <v>46</v>
      </c>
      <c r="C38" s="13">
        <v>17.600000000000001</v>
      </c>
      <c r="D38" s="14" t="s">
        <v>50</v>
      </c>
    </row>
    <row r="39" spans="1:4" s="2" customFormat="1" x14ac:dyDescent="0.25">
      <c r="A39" s="16" t="s">
        <v>55</v>
      </c>
      <c r="B39" s="17"/>
      <c r="C39" s="17"/>
      <c r="D39" s="18"/>
    </row>
    <row r="40" spans="1:4" x14ac:dyDescent="0.25">
      <c r="A40" s="9" t="s">
        <v>104</v>
      </c>
      <c r="B40" s="13" t="s">
        <v>56</v>
      </c>
      <c r="C40" s="21"/>
      <c r="D40" s="22" t="s">
        <v>98</v>
      </c>
    </row>
    <row r="41" spans="1:4" x14ac:dyDescent="0.25">
      <c r="A41" s="9" t="s">
        <v>99</v>
      </c>
      <c r="B41" s="13" t="s">
        <v>100</v>
      </c>
      <c r="C41" s="23"/>
      <c r="D41" s="22" t="s">
        <v>101</v>
      </c>
    </row>
    <row r="42" spans="1:4" ht="15.75" thickBot="1" x14ac:dyDescent="0.3">
      <c r="A42" s="24" t="s">
        <v>102</v>
      </c>
      <c r="B42" s="25" t="s">
        <v>56</v>
      </c>
      <c r="C42" s="26"/>
      <c r="D42" s="27" t="s">
        <v>103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5156E-EED9-4205-A7F1-9100F71F6C49}">
  <sheetPr>
    <tabColor theme="3" tint="0.89999084444715716"/>
  </sheetPr>
  <dimension ref="A1:AF84"/>
  <sheetViews>
    <sheetView workbookViewId="0">
      <pane xSplit="2" topLeftCell="C1" activePane="topRight" state="frozen"/>
      <selection pane="topRight" activeCell="A83" sqref="A83"/>
    </sheetView>
  </sheetViews>
  <sheetFormatPr defaultRowHeight="15" x14ac:dyDescent="0.25"/>
  <cols>
    <col min="1" max="1" width="102.7109375" style="1" bestFit="1" customWidth="1"/>
    <col min="2" max="2" width="18.140625" style="1" customWidth="1"/>
    <col min="3" max="32" width="15.28515625" style="1" customWidth="1"/>
    <col min="33" max="16384" width="9.140625" style="1"/>
  </cols>
  <sheetData>
    <row r="1" spans="1:32" ht="18.75" x14ac:dyDescent="0.3">
      <c r="A1" s="3" t="s">
        <v>62</v>
      </c>
    </row>
    <row r="2" spans="1:32" x14ac:dyDescent="0.25">
      <c r="A2" s="4"/>
    </row>
    <row r="3" spans="1:32" ht="15.75" thickBot="1" x14ac:dyDescent="0.3"/>
    <row r="4" spans="1:32" ht="15.75" thickBot="1" x14ac:dyDescent="0.3">
      <c r="A4" s="29" t="s">
        <v>63</v>
      </c>
      <c r="B4" s="30"/>
    </row>
    <row r="5" spans="1:32" x14ac:dyDescent="0.25">
      <c r="A5" s="9" t="s">
        <v>1</v>
      </c>
      <c r="B5" s="35"/>
    </row>
    <row r="6" spans="1:32" x14ac:dyDescent="0.25">
      <c r="A6" s="9" t="s">
        <v>57</v>
      </c>
      <c r="B6" s="36"/>
    </row>
    <row r="7" spans="1:32" x14ac:dyDescent="0.25">
      <c r="A7" s="9" t="s">
        <v>58</v>
      </c>
      <c r="B7" s="37"/>
    </row>
    <row r="8" spans="1:32" x14ac:dyDescent="0.25">
      <c r="A8" s="9" t="s">
        <v>59</v>
      </c>
      <c r="B8" s="38"/>
    </row>
    <row r="9" spans="1:32" x14ac:dyDescent="0.25">
      <c r="A9" s="9" t="s">
        <v>64</v>
      </c>
      <c r="B9" s="39"/>
    </row>
    <row r="10" spans="1:32" x14ac:dyDescent="0.25">
      <c r="A10" s="9" t="s">
        <v>105</v>
      </c>
      <c r="B10" s="40"/>
    </row>
    <row r="11" spans="1:32" ht="15.75" thickBot="1" x14ac:dyDescent="0.3">
      <c r="A11" s="28" t="s">
        <v>65</v>
      </c>
      <c r="B11" s="41"/>
    </row>
    <row r="12" spans="1:32" ht="15.75" thickBot="1" x14ac:dyDescent="0.3"/>
    <row r="13" spans="1:32" x14ac:dyDescent="0.25">
      <c r="A13" s="31"/>
      <c r="B13" s="32" t="s">
        <v>66</v>
      </c>
      <c r="C13" s="33">
        <f>Inputs!C4</f>
        <v>2026</v>
      </c>
      <c r="D13" s="33">
        <f>C13+1</f>
        <v>2027</v>
      </c>
      <c r="E13" s="33">
        <f t="shared" ref="E13:AF13" si="0">D13+1</f>
        <v>2028</v>
      </c>
      <c r="F13" s="33">
        <f t="shared" si="0"/>
        <v>2029</v>
      </c>
      <c r="G13" s="33">
        <f t="shared" si="0"/>
        <v>2030</v>
      </c>
      <c r="H13" s="33">
        <f t="shared" si="0"/>
        <v>2031</v>
      </c>
      <c r="I13" s="33">
        <f t="shared" si="0"/>
        <v>2032</v>
      </c>
      <c r="J13" s="33">
        <f t="shared" si="0"/>
        <v>2033</v>
      </c>
      <c r="K13" s="33">
        <f t="shared" si="0"/>
        <v>2034</v>
      </c>
      <c r="L13" s="33">
        <f t="shared" si="0"/>
        <v>2035</v>
      </c>
      <c r="M13" s="33">
        <f t="shared" si="0"/>
        <v>2036</v>
      </c>
      <c r="N13" s="33">
        <f t="shared" si="0"/>
        <v>2037</v>
      </c>
      <c r="O13" s="33">
        <f t="shared" si="0"/>
        <v>2038</v>
      </c>
      <c r="P13" s="33">
        <f t="shared" si="0"/>
        <v>2039</v>
      </c>
      <c r="Q13" s="33">
        <f t="shared" si="0"/>
        <v>2040</v>
      </c>
      <c r="R13" s="33">
        <f t="shared" si="0"/>
        <v>2041</v>
      </c>
      <c r="S13" s="33">
        <f t="shared" si="0"/>
        <v>2042</v>
      </c>
      <c r="T13" s="33">
        <f t="shared" si="0"/>
        <v>2043</v>
      </c>
      <c r="U13" s="33">
        <f t="shared" si="0"/>
        <v>2044</v>
      </c>
      <c r="V13" s="33">
        <f t="shared" si="0"/>
        <v>2045</v>
      </c>
      <c r="W13" s="33">
        <f t="shared" si="0"/>
        <v>2046</v>
      </c>
      <c r="X13" s="33">
        <f t="shared" si="0"/>
        <v>2047</v>
      </c>
      <c r="Y13" s="33">
        <f t="shared" si="0"/>
        <v>2048</v>
      </c>
      <c r="Z13" s="33">
        <f t="shared" si="0"/>
        <v>2049</v>
      </c>
      <c r="AA13" s="33">
        <f t="shared" si="0"/>
        <v>2050</v>
      </c>
      <c r="AB13" s="33">
        <f t="shared" si="0"/>
        <v>2051</v>
      </c>
      <c r="AC13" s="33">
        <f t="shared" si="0"/>
        <v>2052</v>
      </c>
      <c r="AD13" s="33">
        <f t="shared" si="0"/>
        <v>2053</v>
      </c>
      <c r="AE13" s="33">
        <f t="shared" si="0"/>
        <v>2054</v>
      </c>
      <c r="AF13" s="34">
        <f t="shared" si="0"/>
        <v>2055</v>
      </c>
    </row>
    <row r="14" spans="1:32" ht="15.75" thickBot="1" x14ac:dyDescent="0.3">
      <c r="A14" s="28" t="s">
        <v>67</v>
      </c>
      <c r="B14" s="25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3"/>
    </row>
    <row r="15" spans="1:32" x14ac:dyDescent="0.25">
      <c r="A15" s="31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5"/>
    </row>
    <row r="16" spans="1:32" x14ac:dyDescent="0.25">
      <c r="A16" s="16" t="s">
        <v>60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4"/>
    </row>
    <row r="17" spans="1:32" x14ac:dyDescent="0.25">
      <c r="A17" s="9" t="s">
        <v>68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7"/>
    </row>
    <row r="18" spans="1:32" x14ac:dyDescent="0.25">
      <c r="A18" s="9" t="s">
        <v>69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7"/>
    </row>
    <row r="19" spans="1:32" x14ac:dyDescent="0.25">
      <c r="A19" s="48" t="s">
        <v>70</v>
      </c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50"/>
    </row>
    <row r="20" spans="1:32" x14ac:dyDescent="0.25">
      <c r="A20" s="9" t="s">
        <v>71</v>
      </c>
      <c r="B20" s="13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2"/>
    </row>
    <row r="21" spans="1:32" x14ac:dyDescent="0.25">
      <c r="A21" s="9" t="s">
        <v>72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7"/>
    </row>
    <row r="22" spans="1:32" x14ac:dyDescent="0.25">
      <c r="A22" s="48" t="s">
        <v>73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50"/>
    </row>
    <row r="23" spans="1:32" x14ac:dyDescent="0.25">
      <c r="A23" s="9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4"/>
    </row>
    <row r="24" spans="1:32" x14ac:dyDescent="0.25">
      <c r="A24" s="16" t="s">
        <v>61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4"/>
    </row>
    <row r="25" spans="1:32" x14ac:dyDescent="0.25">
      <c r="A25" s="9" t="s">
        <v>68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7"/>
    </row>
    <row r="26" spans="1:32" x14ac:dyDescent="0.25">
      <c r="A26" s="9" t="s">
        <v>69</v>
      </c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7"/>
    </row>
    <row r="27" spans="1:32" x14ac:dyDescent="0.25">
      <c r="A27" s="9" t="s">
        <v>74</v>
      </c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7"/>
    </row>
    <row r="28" spans="1:32" x14ac:dyDescent="0.25">
      <c r="A28" s="9" t="s">
        <v>75</v>
      </c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7"/>
    </row>
    <row r="29" spans="1:32" x14ac:dyDescent="0.25">
      <c r="A29" s="48" t="s">
        <v>70</v>
      </c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50"/>
    </row>
    <row r="30" spans="1:32" x14ac:dyDescent="0.25">
      <c r="A30" s="9" t="s">
        <v>71</v>
      </c>
      <c r="B30" s="13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2"/>
    </row>
    <row r="31" spans="1:32" x14ac:dyDescent="0.25">
      <c r="A31" s="9" t="s">
        <v>72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7"/>
    </row>
    <row r="32" spans="1:32" x14ac:dyDescent="0.25">
      <c r="A32" s="48" t="s">
        <v>73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50"/>
    </row>
    <row r="33" spans="1:32" x14ac:dyDescent="0.25">
      <c r="A33" s="9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4"/>
    </row>
    <row r="34" spans="1:32" x14ac:dyDescent="0.25">
      <c r="A34" s="16" t="s">
        <v>76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4"/>
    </row>
    <row r="35" spans="1:32" x14ac:dyDescent="0.25">
      <c r="A35" s="9" t="s">
        <v>77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7"/>
    </row>
    <row r="36" spans="1:32" x14ac:dyDescent="0.25">
      <c r="A36" s="9" t="s">
        <v>78</v>
      </c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7"/>
    </row>
    <row r="37" spans="1:32" x14ac:dyDescent="0.25">
      <c r="A37" s="9" t="s">
        <v>79</v>
      </c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7"/>
    </row>
    <row r="38" spans="1:32" x14ac:dyDescent="0.25">
      <c r="A38" s="9" t="s">
        <v>68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7"/>
    </row>
    <row r="39" spans="1:32" x14ac:dyDescent="0.25">
      <c r="A39" s="9" t="s">
        <v>69</v>
      </c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7"/>
    </row>
    <row r="40" spans="1:32" x14ac:dyDescent="0.25">
      <c r="A40" s="9" t="s">
        <v>74</v>
      </c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7"/>
    </row>
    <row r="41" spans="1:32" x14ac:dyDescent="0.25">
      <c r="A41" s="9" t="s">
        <v>75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7"/>
    </row>
    <row r="42" spans="1:32" x14ac:dyDescent="0.25">
      <c r="A42" s="48" t="s">
        <v>70</v>
      </c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50"/>
    </row>
    <row r="43" spans="1:32" x14ac:dyDescent="0.25">
      <c r="A43" s="9" t="s">
        <v>71</v>
      </c>
      <c r="B43" s="13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2"/>
    </row>
    <row r="44" spans="1:32" x14ac:dyDescent="0.25">
      <c r="A44" s="9" t="s">
        <v>72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7"/>
    </row>
    <row r="45" spans="1:32" x14ac:dyDescent="0.25">
      <c r="A45" s="48" t="s">
        <v>73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50"/>
    </row>
    <row r="46" spans="1:32" x14ac:dyDescent="0.25">
      <c r="A46" s="9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4"/>
    </row>
    <row r="47" spans="1:32" x14ac:dyDescent="0.25">
      <c r="A47" s="16" t="s">
        <v>80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4"/>
    </row>
    <row r="48" spans="1:32" x14ac:dyDescent="0.25">
      <c r="A48" s="9" t="s">
        <v>77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7"/>
    </row>
    <row r="49" spans="1:32" x14ac:dyDescent="0.25">
      <c r="A49" s="9" t="s">
        <v>78</v>
      </c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7"/>
    </row>
    <row r="50" spans="1:32" x14ac:dyDescent="0.25">
      <c r="A50" s="9" t="s">
        <v>79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7"/>
    </row>
    <row r="51" spans="1:32" x14ac:dyDescent="0.25">
      <c r="A51" s="9" t="s">
        <v>81</v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7"/>
    </row>
    <row r="52" spans="1:32" x14ac:dyDescent="0.25">
      <c r="A52" s="9" t="s">
        <v>82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7"/>
    </row>
    <row r="53" spans="1:32" x14ac:dyDescent="0.25">
      <c r="A53" s="9" t="s">
        <v>83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7"/>
    </row>
    <row r="54" spans="1:32" x14ac:dyDescent="0.25">
      <c r="A54" s="9" t="s">
        <v>84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7"/>
    </row>
    <row r="55" spans="1:32" x14ac:dyDescent="0.25">
      <c r="A55" s="9" t="s">
        <v>85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7"/>
    </row>
    <row r="56" spans="1:32" x14ac:dyDescent="0.25">
      <c r="A56" s="9" t="s">
        <v>86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7"/>
    </row>
    <row r="57" spans="1:32" x14ac:dyDescent="0.25">
      <c r="A57" s="9" t="s">
        <v>74</v>
      </c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7"/>
    </row>
    <row r="58" spans="1:32" x14ac:dyDescent="0.25">
      <c r="A58" s="9" t="s">
        <v>75</v>
      </c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7"/>
    </row>
    <row r="59" spans="1:32" x14ac:dyDescent="0.25">
      <c r="A59" s="48" t="s">
        <v>70</v>
      </c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50"/>
    </row>
    <row r="60" spans="1:32" x14ac:dyDescent="0.25">
      <c r="A60" s="9" t="s">
        <v>71</v>
      </c>
      <c r="B60" s="13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2"/>
    </row>
    <row r="61" spans="1:32" x14ac:dyDescent="0.25">
      <c r="A61" s="9" t="s">
        <v>72</v>
      </c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7"/>
    </row>
    <row r="62" spans="1:32" x14ac:dyDescent="0.25">
      <c r="A62" s="48" t="s">
        <v>73</v>
      </c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50"/>
    </row>
    <row r="63" spans="1:32" ht="15.75" thickBot="1" x14ac:dyDescent="0.3">
      <c r="A63" s="28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53"/>
    </row>
    <row r="64" spans="1:32" x14ac:dyDescent="0.25">
      <c r="A64" s="31"/>
      <c r="B64" s="44"/>
      <c r="C64" s="44"/>
      <c r="D64" s="44"/>
      <c r="E64" s="45"/>
    </row>
    <row r="65" spans="1:5" ht="15.75" x14ac:dyDescent="0.25">
      <c r="A65" s="54" t="s">
        <v>114</v>
      </c>
      <c r="B65" s="13"/>
      <c r="C65" s="13"/>
      <c r="D65" s="13"/>
      <c r="E65" s="14"/>
    </row>
    <row r="66" spans="1:5" x14ac:dyDescent="0.25">
      <c r="A66" s="16" t="s">
        <v>87</v>
      </c>
      <c r="B66" s="55" t="s">
        <v>88</v>
      </c>
      <c r="C66" s="55" t="s">
        <v>89</v>
      </c>
      <c r="D66" s="55" t="s">
        <v>90</v>
      </c>
      <c r="E66" s="56" t="s">
        <v>91</v>
      </c>
    </row>
    <row r="67" spans="1:5" x14ac:dyDescent="0.25">
      <c r="A67" s="9" t="s">
        <v>92</v>
      </c>
      <c r="B67" s="57"/>
      <c r="C67" s="57"/>
      <c r="D67" s="57"/>
      <c r="E67" s="58"/>
    </row>
    <row r="68" spans="1:5" x14ac:dyDescent="0.25">
      <c r="A68" s="9" t="s">
        <v>93</v>
      </c>
      <c r="B68" s="57"/>
      <c r="C68" s="57"/>
      <c r="D68" s="57"/>
      <c r="E68" s="58"/>
    </row>
    <row r="69" spans="1:5" x14ac:dyDescent="0.25">
      <c r="A69" s="9"/>
      <c r="B69" s="13"/>
      <c r="C69" s="13"/>
      <c r="D69" s="13"/>
      <c r="E69" s="14"/>
    </row>
    <row r="70" spans="1:5" x14ac:dyDescent="0.25">
      <c r="A70" s="48" t="s">
        <v>94</v>
      </c>
      <c r="B70" s="59"/>
      <c r="C70" s="59"/>
      <c r="D70" s="59"/>
      <c r="E70" s="60"/>
    </row>
    <row r="71" spans="1:5" x14ac:dyDescent="0.25">
      <c r="A71" s="9" t="s">
        <v>111</v>
      </c>
      <c r="B71" s="61" t="s">
        <v>95</v>
      </c>
      <c r="C71" s="62"/>
      <c r="D71" s="62"/>
      <c r="E71" s="63"/>
    </row>
    <row r="72" spans="1:5" x14ac:dyDescent="0.25">
      <c r="A72" s="9" t="s">
        <v>96</v>
      </c>
      <c r="B72" s="61" t="s">
        <v>95</v>
      </c>
      <c r="C72" s="62"/>
      <c r="D72" s="62"/>
      <c r="E72" s="63"/>
    </row>
    <row r="73" spans="1:5" x14ac:dyDescent="0.25">
      <c r="A73" s="64"/>
      <c r="B73" s="59"/>
      <c r="C73" s="59"/>
      <c r="D73" s="59"/>
      <c r="E73" s="60"/>
    </row>
    <row r="74" spans="1:5" x14ac:dyDescent="0.25">
      <c r="A74" s="48" t="s">
        <v>97</v>
      </c>
      <c r="B74" s="61" t="s">
        <v>95</v>
      </c>
      <c r="C74" s="65"/>
      <c r="D74" s="65"/>
      <c r="E74" s="66"/>
    </row>
    <row r="75" spans="1:5" x14ac:dyDescent="0.25">
      <c r="A75" s="67" t="s">
        <v>113</v>
      </c>
      <c r="B75" s="61" t="s">
        <v>95</v>
      </c>
      <c r="C75" s="65"/>
      <c r="D75" s="65"/>
      <c r="E75" s="66"/>
    </row>
    <row r="76" spans="1:5" x14ac:dyDescent="0.25">
      <c r="A76" s="64"/>
      <c r="B76" s="59"/>
      <c r="C76" s="59"/>
      <c r="D76" s="59"/>
      <c r="E76" s="60"/>
    </row>
    <row r="77" spans="1:5" x14ac:dyDescent="0.25">
      <c r="A77" s="68" t="s">
        <v>106</v>
      </c>
      <c r="B77" s="59"/>
      <c r="C77" s="59"/>
      <c r="D77" s="59"/>
      <c r="E77" s="60"/>
    </row>
    <row r="78" spans="1:5" x14ac:dyDescent="0.25">
      <c r="A78" s="64" t="s">
        <v>107</v>
      </c>
      <c r="B78" s="61" t="s">
        <v>95</v>
      </c>
      <c r="C78" s="69"/>
      <c r="D78" s="69"/>
      <c r="E78" s="70"/>
    </row>
    <row r="79" spans="1:5" x14ac:dyDescent="0.25">
      <c r="A79" s="67" t="s">
        <v>112</v>
      </c>
      <c r="B79" s="61" t="s">
        <v>95</v>
      </c>
      <c r="C79" s="71"/>
      <c r="D79" s="71"/>
      <c r="E79" s="72"/>
    </row>
    <row r="80" spans="1:5" ht="15.75" thickBot="1" x14ac:dyDescent="0.3">
      <c r="A80" s="73"/>
      <c r="B80" s="74"/>
      <c r="C80" s="75"/>
      <c r="D80" s="75"/>
      <c r="E80" s="76"/>
    </row>
    <row r="81" spans="1:5" x14ac:dyDescent="0.25">
      <c r="A81"/>
      <c r="B81"/>
      <c r="C81"/>
      <c r="D81"/>
      <c r="E81"/>
    </row>
    <row r="82" spans="1:5" x14ac:dyDescent="0.25">
      <c r="A82"/>
      <c r="B82"/>
      <c r="C82"/>
      <c r="D82"/>
      <c r="E82"/>
    </row>
    <row r="83" spans="1:5" x14ac:dyDescent="0.25">
      <c r="A83"/>
      <c r="B83"/>
      <c r="C83"/>
      <c r="D83"/>
      <c r="E83"/>
    </row>
    <row r="84" spans="1:5" x14ac:dyDescent="0.25">
      <c r="B8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 Doshi</dc:creator>
  <cp:lastModifiedBy>Ammarr Aripin</cp:lastModifiedBy>
  <dcterms:created xsi:type="dcterms:W3CDTF">2026-09-20T03:20:33Z</dcterms:created>
  <dcterms:modified xsi:type="dcterms:W3CDTF">2026-09-23T00:59:43Z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2026-09-23T00:29:59Z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999d29d4-1e16-40ce-9613-e637f8822010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