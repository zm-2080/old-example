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mmohda_uq_edu_au/Documents/UQ Teaching/2026_Semester 2/ECON3700_S2_2026/Assessments/Case Study/"/>
    </mc:Choice>
  </mc:AlternateContent>
  <xr:revisionPtr revIDLastSave="1023" documentId="8_{D3C72336-367E-4D4D-AE7C-250027EA62FF}" xr6:coauthVersionLast="47" xr6:coauthVersionMax="47" xr10:uidLastSave="{C771EFC9-09C1-4A08-BE2A-37129046DE89}"/>
  <bookViews>
    <workbookView xWindow="-120" yWindow="-120" windowWidth="29040" windowHeight="15720" xr2:uid="{05F0D355-CEB9-476D-AAEB-E6D5FAB6E27F}"/>
  </bookViews>
  <sheets>
    <sheet name="Inputs" sheetId="1" r:id="rId1"/>
    <sheet name="DCF" sheetId="2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<sst xmlns="http://schemas.openxmlformats.org/spreadsheetml/2006/main" count="183" uniqueCount="115">
  <si>
    <t>Value</t>
  </si>
  <si>
    <t>Discount rate</t>
  </si>
  <si>
    <t>%</t>
  </si>
  <si>
    <t>Analysis period</t>
  </si>
  <si>
    <t>years</t>
  </si>
  <si>
    <t xml:space="preserve">Analysis start year </t>
  </si>
  <si>
    <t>year (FY)</t>
  </si>
  <si>
    <t xml:space="preserve">Analysis end year </t>
  </si>
  <si>
    <t>Oaky Creek Road length</t>
  </si>
  <si>
    <t>km</t>
  </si>
  <si>
    <t>Percy Road length</t>
  </si>
  <si>
    <t>Total road length</t>
  </si>
  <si>
    <t>No. of stream crossings per km</t>
  </si>
  <si>
    <t>No.</t>
  </si>
  <si>
    <t>Total no. of kms (crest to crest) stream crossings</t>
  </si>
  <si>
    <t>Oaky Creek Road no. of km (crest to crest) stream crossings</t>
  </si>
  <si>
    <t>Percy Road no. of km (crest to crest) stream crossings</t>
  </si>
  <si>
    <t>Infrastructure Australia guidelines for Economic Appraisal</t>
  </si>
  <si>
    <t>Assumption</t>
  </si>
  <si>
    <t>Capital costs</t>
  </si>
  <si>
    <t>Concrete floodway</t>
  </si>
  <si>
    <t>Rock floodway</t>
  </si>
  <si>
    <t>Rock mulch, rock grade control structures, and gully rock chutes</t>
  </si>
  <si>
    <t>Bitumen dust seal</t>
  </si>
  <si>
    <t>Grading to prepare road surface for bitumen dust seal</t>
  </si>
  <si>
    <t>AUD$/crossing</t>
  </si>
  <si>
    <t>AUD$/km</t>
  </si>
  <si>
    <t>Ongoing costs</t>
  </si>
  <si>
    <t>Business-as-usual maintenance Oaky Creek Road</t>
  </si>
  <si>
    <t>AUD$/km/year</t>
  </si>
  <si>
    <t>Business-as-usual maintenance Percy Road</t>
  </si>
  <si>
    <t>% of business-as-usual maintenance costs in Alternative Maintenance scenario</t>
  </si>
  <si>
    <t>% of business-as-usual maintenance costs in Major Erosion Control scenario</t>
  </si>
  <si>
    <t>Invasive grader grass spraying (non-selective herbicides)</t>
  </si>
  <si>
    <t>Year 1 and 2</t>
  </si>
  <si>
    <t>Year 3 onwards</t>
  </si>
  <si>
    <t>Woody weeds (broadleaf herbicide)</t>
  </si>
  <si>
    <t>Year 1</t>
  </si>
  <si>
    <t>Year 2 follow up</t>
  </si>
  <si>
    <t>Year 3 follow up</t>
  </si>
  <si>
    <t>Year 4 onwards</t>
  </si>
  <si>
    <t>Maintenance of bitumen dust seal</t>
  </si>
  <si>
    <t>AUD$/km/year r</t>
  </si>
  <si>
    <t>Drain cleaning in Full Betterment scenario</t>
  </si>
  <si>
    <t>Erosion rates</t>
  </si>
  <si>
    <t>Scenario 1: business-as-usual</t>
  </si>
  <si>
    <t>tons/km/year &lt; 20 µm</t>
  </si>
  <si>
    <t>Scenario 2: alternative maintenance</t>
  </si>
  <si>
    <t>Scenario 3: major erosion control</t>
  </si>
  <si>
    <t>Scenario 4: full betterment</t>
  </si>
  <si>
    <t>Shellberg, et al. (2026)</t>
  </si>
  <si>
    <t>Provided by Cook Shire Council, applied to Scenarios 3,4</t>
  </si>
  <si>
    <t>Provided by Cook Shire Council, applied to Scenario 4</t>
  </si>
  <si>
    <t>Provided by Cook Shire Council, applied to Scenario 1</t>
  </si>
  <si>
    <t>Provided by Cook Shire Council, applied to Scenarios 2,3</t>
  </si>
  <si>
    <t>Avoided abatement costs</t>
  </si>
  <si>
    <t>AUD$/ton/year</t>
  </si>
  <si>
    <t>Analysis period (years)</t>
  </si>
  <si>
    <t>Total road length (km)</t>
  </si>
  <si>
    <t>Stream crossings treated (no.)</t>
  </si>
  <si>
    <t>Scenario 1: Business-as-usual (base case)</t>
  </si>
  <si>
    <t>Scenario 2: Alternative maintenance</t>
  </si>
  <si>
    <t>Cost-Benefit Analysis — Unsealed Roads: Simplified Discounted Cash Flow</t>
  </si>
  <si>
    <t>Key parameters</t>
  </si>
  <si>
    <t>Crest-to-crest crossing length (km)</t>
  </si>
  <si>
    <t>Maintenance in Scenarios 2 &amp; 3 (% of BAU)</t>
  </si>
  <si>
    <t>Present value</t>
  </si>
  <si>
    <t>Discount factor</t>
  </si>
  <si>
    <t xml:space="preserve">   Maintenance — Oaky Creek Road</t>
  </si>
  <si>
    <t xml:space="preserve">   Maintenance — Percy Road</t>
  </si>
  <si>
    <t>Total financial costs</t>
  </si>
  <si>
    <t xml:space="preserve">   Sediment delivered to reef (t/yr &lt;20µm)</t>
  </si>
  <si>
    <t xml:space="preserve">   Cost of sediment delivery to the reef</t>
  </si>
  <si>
    <t>Total costs (financial + environmental)</t>
  </si>
  <si>
    <t xml:space="preserve">   Invasive grader grass spraying</t>
  </si>
  <si>
    <t xml:space="preserve">   Woody weeds (broadleaf herbicide)</t>
  </si>
  <si>
    <t>Scenario 3: Major erosion control (betterment)</t>
  </si>
  <si>
    <t xml:space="preserve">   Capital — concrete floodway</t>
  </si>
  <si>
    <t xml:space="preserve">   Capital — rock floodway</t>
  </si>
  <si>
    <t xml:space="preserve">   Capital — rock mulch, grade control structures, gully rock chutes</t>
  </si>
  <si>
    <t>Scenario 4: Full betterment (bitumen)</t>
  </si>
  <si>
    <t xml:space="preserve">   Capital — bitumen dust seal</t>
  </si>
  <si>
    <t xml:space="preserve">   Capital — grading to prepare road surface</t>
  </si>
  <si>
    <t xml:space="preserve">   Maintenance — Oaky Creek Road (gravel, FY2025 only)</t>
  </si>
  <si>
    <t xml:space="preserve">   Maintenance — Percy Road (gravel, FY2025 only)</t>
  </si>
  <si>
    <t xml:space="preserve">   Maintenance of bitumen dust seal</t>
  </si>
  <si>
    <t xml:space="preserve">   Drain cleaning</t>
  </si>
  <si>
    <t>Measure</t>
  </si>
  <si>
    <t>Scenario 1</t>
  </si>
  <si>
    <t>Scenario 2</t>
  </si>
  <si>
    <t>Scenario 3</t>
  </si>
  <si>
    <t>Scenario 4</t>
  </si>
  <si>
    <t>PV costs (financial)</t>
  </si>
  <si>
    <t>PV costs (financial + environmental)</t>
  </si>
  <si>
    <t>Relative to business-as-usual</t>
  </si>
  <si>
    <t>n/a</t>
  </si>
  <si>
    <t>PV benefit — reduced sediment delivery</t>
  </si>
  <si>
    <t>NPV (financial only)</t>
  </si>
  <si>
    <t>Doshi, et al (2026), indexed to 2026 dollars</t>
  </si>
  <si>
    <t>Indexation factor FY2024 → FY2026</t>
  </si>
  <si>
    <t>ratio</t>
  </si>
  <si>
    <t>Calculated</t>
  </si>
  <si>
    <t>Avoided abatement cost value (FY2026 dollars)</t>
  </si>
  <si>
    <t>Doshi, et al (2026), indexed from FY2024 to FY2026 using ABS All groups CPI</t>
  </si>
  <si>
    <t>Avoided abatement cost value (FY2024 dollars)</t>
  </si>
  <si>
    <t>Sediment abatement value ($/t &lt;20µm, FY2026 dollars)</t>
  </si>
  <si>
    <t>Cost-effectiveness of sediment reduction</t>
  </si>
  <si>
    <t>Sediment abated vs BAU over the appraisal period (t, undiscounted)</t>
  </si>
  <si>
    <t>Input</t>
  </si>
  <si>
    <t>Unit</t>
  </si>
  <si>
    <t>Based on</t>
  </si>
  <si>
    <t>PV net financial cost (all capital + operating, net of avoided BAU maintenance)</t>
  </si>
  <si>
    <t>Cost-effectiveness — PV financial cost per tonne abated</t>
  </si>
  <si>
    <t>NPV (financial + environmental) (BCR should not be calculated)</t>
  </si>
  <si>
    <t>Results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</si>
</sst>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0.0%"/>
    <numFmt numFmtId="167" formatCode="&quot;$&quot;#,##0"/>
    <numFmt numFmtId="168" formatCode="0.000"/>
    <numFmt numFmtId="169" formatCode="&quot;$&quot;#,##0;\(&quot;$&quot;#,##0\);\-"/>
    <numFmt numFmtId="170" formatCode="#,##0.0"/>
    <numFmt numFmtId="171" formatCode="0.0000"/>
    <numFmt numFmtId="172" formatCode="&quot;$&quot;#,##0.00;\(&quot;$&quot;#,##0.00\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sz val="12"/>
      <name val="Avenir Next LT Pro"/>
      <family val="2"/>
    </font>
    <font>
      <b/>
      <sz val="11"/>
      <color theme="1"/>
      <name val="Avenir Next LT Pro"/>
      <family val="2"/>
    </font>
    <font>
      <b/>
      <sz val="14"/>
      <color theme="1"/>
      <name val="Avenir Next LT Pro"/>
      <family val="2"/>
    </font>
    <font>
      <i/>
      <sz val="11"/>
      <color rgb="FF595959"/>
      <name val="Avenir Next LT Pro"/>
      <family val="2"/>
    </font>
    <font>
      <sz val="11"/>
      <color rgb="FF008000"/>
      <name val="Avenir Next LT Pro"/>
      <family val="2"/>
    </font>
    <font>
      <b/>
      <sz val="12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87CFC3"/>
      </top>
      <bottom style="thin">
        <color rgb="FF87CFC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167" fontId="3" fillId="0" borderId="0" xfId="0" applyNumberFormat="1" applyFont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3" fillId="0" borderId="4" xfId="0" applyFont="1" applyBorder="1"/>
    <xf numFmtId="0" fontId="4" fillId="0" borderId="0" xfId="0" applyFont="1" applyBorder="1"/>
    <xf numFmtId="9" fontId="3" fillId="0" borderId="0" xfId="0" applyNumberFormat="1" applyFont="1" applyBorder="1"/>
    <xf numFmtId="0" fontId="5" fillId="0" borderId="5" xfId="0" applyFont="1" applyBorder="1" applyAlignment="1">
      <alignment vertical="top" wrapText="1"/>
    </xf>
    <xf numFmtId="0" fontId="3" fillId="0" borderId="0" xfId="0" applyFont="1" applyBorder="1"/>
    <xf numFmtId="0" fontId="3" fillId="0" borderId="6" xfId="0" applyFont="1" applyBorder="1"/>
    <xf numFmtId="164" fontId="3" fillId="0" borderId="0" xfId="0" applyNumberFormat="1" applyFont="1" applyBorder="1"/>
    <xf numFmtId="0" fontId="6" fillId="3" borderId="4" xfId="0" applyFont="1" applyFill="1" applyBorder="1"/>
    <xf numFmtId="0" fontId="6" fillId="3" borderId="0" xfId="0" applyFont="1" applyFill="1" applyBorder="1"/>
    <xf numFmtId="0" fontId="6" fillId="3" borderId="6" xfId="0" applyFont="1" applyFill="1" applyBorder="1"/>
    <xf numFmtId="165" fontId="3" fillId="0" borderId="0" xfId="1" applyNumberFormat="1" applyFont="1" applyBorder="1"/>
    <xf numFmtId="3" fontId="3" fillId="0" borderId="0" xfId="0" applyNumberFormat="1" applyFont="1" applyBorder="1"/>
    <xf numFmtId="165" fontId="3" fillId="2" borderId="0" xfId="1" applyNumberFormat="1" applyFont="1" applyFill="1" applyBorder="1"/>
    <xf numFmtId="0" fontId="3" fillId="2" borderId="6" xfId="0" applyFont="1" applyFill="1" applyBorder="1"/>
    <xf numFmtId="171" fontId="3" fillId="2" borderId="0" xfId="0" applyNumberFormat="1" applyFont="1" applyFill="1" applyBorder="1"/>
    <xf numFmtId="0" fontId="6" fillId="0" borderId="7" xfId="0" applyFont="1" applyBorder="1"/>
    <xf numFmtId="0" fontId="3" fillId="0" borderId="8" xfId="0" applyFont="1" applyBorder="1"/>
    <xf numFmtId="165" fontId="3" fillId="2" borderId="8" xfId="1" applyNumberFormat="1" applyFont="1" applyFill="1" applyBorder="1"/>
    <xf numFmtId="0" fontId="3" fillId="2" borderId="9" xfId="0" applyFont="1" applyFill="1" applyBorder="1"/>
    <xf numFmtId="0" fontId="3" fillId="0" borderId="7" xfId="0" applyFont="1" applyBorder="1"/>
    <xf numFmtId="0" fontId="6" fillId="3" borderId="10" xfId="0" applyFont="1" applyFill="1" applyBorder="1"/>
    <xf numFmtId="0" fontId="3" fillId="3" borderId="11" xfId="0" applyFont="1" applyFill="1" applyBorder="1"/>
    <xf numFmtId="0" fontId="3" fillId="0" borderId="1" xfId="0" applyFont="1" applyBorder="1"/>
    <xf numFmtId="0" fontId="6" fillId="0" borderId="2" xfId="0" applyFont="1" applyBorder="1" applyAlignment="1">
      <alignment horizontal="right"/>
    </xf>
    <xf numFmtId="1" fontId="6" fillId="0" borderId="2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66" fontId="9" fillId="2" borderId="6" xfId="0" applyNumberFormat="1" applyFont="1" applyFill="1" applyBorder="1"/>
    <xf numFmtId="1" fontId="9" fillId="2" borderId="6" xfId="0" applyNumberFormat="1" applyFont="1" applyFill="1" applyBorder="1"/>
    <xf numFmtId="164" fontId="9" fillId="2" borderId="6" xfId="0" applyNumberFormat="1" applyFont="1" applyFill="1" applyBorder="1"/>
    <xf numFmtId="164" fontId="3" fillId="2" borderId="6" xfId="0" applyNumberFormat="1" applyFont="1" applyFill="1" applyBorder="1"/>
    <xf numFmtId="168" fontId="9" fillId="2" borderId="6" xfId="0" applyNumberFormat="1" applyFont="1" applyFill="1" applyBorder="1"/>
    <xf numFmtId="167" fontId="9" fillId="2" borderId="6" xfId="0" applyNumberFormat="1" applyFont="1" applyFill="1" applyBorder="1"/>
    <xf numFmtId="9" fontId="9" fillId="2" borderId="9" xfId="0" applyNumberFormat="1" applyFont="1" applyFill="1" applyBorder="1"/>
    <xf numFmtId="171" fontId="3" fillId="2" borderId="8" xfId="0" applyNumberFormat="1" applyFont="1" applyFill="1" applyBorder="1"/>
    <xf numFmtId="171" fontId="3" fillId="2" borderId="9" xfId="0" applyNumberFormat="1" applyFont="1" applyFill="1" applyBorder="1"/>
    <xf numFmtId="0" fontId="3" fillId="0" borderId="2" xfId="0" applyFont="1" applyBorder="1"/>
    <xf numFmtId="0" fontId="3" fillId="0" borderId="3" xfId="0" applyFont="1" applyBorder="1"/>
    <xf numFmtId="169" fontId="3" fillId="0" borderId="0" xfId="0" applyNumberFormat="1" applyFont="1" applyBorder="1"/>
    <xf numFmtId="169" fontId="3" fillId="0" borderId="6" xfId="0" applyNumberFormat="1" applyFont="1" applyBorder="1"/>
    <xf numFmtId="0" fontId="6" fillId="0" borderId="4" xfId="0" applyFont="1" applyBorder="1"/>
    <xf numFmtId="169" fontId="6" fillId="0" borderId="0" xfId="0" applyNumberFormat="1" applyFont="1" applyBorder="1"/>
    <xf numFmtId="169" fontId="6" fillId="0" borderId="6" xfId="0" applyNumberFormat="1" applyFont="1" applyBorder="1"/>
    <xf numFmtId="170" fontId="3" fillId="0" borderId="0" xfId="0" applyNumberFormat="1" applyFont="1" applyBorder="1"/>
    <xf numFmtId="170" fontId="3" fillId="0" borderId="6" xfId="0" applyNumberFormat="1" applyFont="1" applyBorder="1"/>
    <xf numFmtId="0" fontId="3" fillId="0" borderId="9" xfId="0" applyFont="1" applyBorder="1"/>
    <xf numFmtId="0" fontId="10" fillId="0" borderId="4" xfId="0" applyFont="1" applyBorder="1"/>
    <xf numFmtId="0" fontId="6" fillId="3" borderId="0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169" fontId="3" fillId="2" borderId="0" xfId="0" applyNumberFormat="1" applyFont="1" applyFill="1" applyBorder="1"/>
    <xf numFmtId="169" fontId="3" fillId="2" borderId="6" xfId="0" applyNumberFormat="1" applyFont="1" applyFill="1" applyBorder="1"/>
    <xf numFmtId="0" fontId="0" fillId="0" borderId="0" xfId="0" applyBorder="1"/>
    <xf numFmtId="0" fontId="0" fillId="0" borderId="6" xfId="0" applyBorder="1"/>
    <xf numFmtId="0" fontId="0" fillId="0" borderId="0" xfId="0" applyBorder="1" applyAlignment="1">
      <alignment horizontal="right"/>
    </xf>
    <xf numFmtId="169" fontId="0" fillId="2" borderId="0" xfId="0" applyNumberFormat="1" applyFill="1" applyBorder="1"/>
    <xf numFmtId="169" fontId="0" fillId="2" borderId="6" xfId="0" applyNumberFormat="1" applyFill="1" applyBorder="1"/>
    <xf numFmtId="0" fontId="0" fillId="0" borderId="4" xfId="0" applyBorder="1"/>
    <xf numFmtId="169" fontId="2" fillId="2" borderId="0" xfId="0" applyNumberFormat="1" applyFont="1" applyFill="1" applyBorder="1"/>
    <xf numFmtId="169" fontId="2" fillId="2" borderId="6" xfId="0" applyNumberFormat="1" applyFont="1" applyFill="1" applyBorder="1"/>
    <xf numFmtId="0" fontId="2" fillId="0" borderId="4" xfId="0" applyFont="1" applyBorder="1"/>
    <xf numFmtId="0" fontId="2" fillId="3" borderId="4" xfId="0" applyFont="1" applyFill="1" applyBorder="1"/>
    <xf numFmtId="3" fontId="0" fillId="2" borderId="0" xfId="0" applyNumberFormat="1" applyFill="1" applyBorder="1"/>
    <xf numFmtId="3" fontId="0" fillId="2" borderId="6" xfId="0" applyNumberFormat="1" applyFill="1" applyBorder="1"/>
    <xf numFmtId="172" fontId="2" fillId="2" borderId="0" xfId="0" applyNumberFormat="1" applyFont="1" applyFill="1" applyBorder="1"/>
    <xf numFmtId="172" fontId="2" fillId="2" borderId="6" xfId="0" applyNumberFormat="1" applyFont="1" applyFill="1" applyBorder="1"/>
    <xf numFmtId="0" fontId="0" fillId="0" borderId="7" xfId="0" applyBorder="1"/>
    <xf numFmtId="167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0F8CD3-636B-4047-8E60-8ADB6BD6BB5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38810949-ecde-4ad3-995e-211ce2da503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3160-DBB7-4B38-BBAF-3C3DA6E8988B}">
  <sheetPr>
    <tabColor rgb="FFFF0000"/>
  </sheetPr>
  <dimension ref="A1:D42"/>
  <sheetViews>
    <sheetView tabSelected="1" zoomScaleNormal="100" workbookViewId="0"/>
  </sheetViews>
  <sheetFormatPr defaultRowHeight="15" x14ac:dyDescent="0.25"/>
  <cols>
    <col min="1" max="1" width="81.85546875" style="1" bestFit="1" customWidth="1"/>
    <col min="2" max="2" width="17.7109375" style="1" bestFit="1" customWidth="1"/>
    <col min="3" max="3" width="14.28515625" style="1" bestFit="1" customWidth="1"/>
    <col min="4" max="4" width="116.140625" style="1" customWidth="1"/>
    <col min="5" max="16384" width="9.140625" style="1"/>
  </cols>
  <sheetData>
    <row r="1" spans="1:4" s="2" customFormat="1" x14ac:dyDescent="0.25">
      <c r="A1" s="6" t="s">
        <v>108</v>
      </c>
      <c r="B1" s="7" t="s">
        <v>109</v>
      </c>
      <c r="C1" s="7" t="s">
        <v>0</v>
      </c>
      <c r="D1" s="8" t="s">
        <v>110</v>
      </c>
    </row>
    <row r="2" spans="1:4" ht="15.75" x14ac:dyDescent="0.25">
      <c r="A2" s="9" t="s">
        <v>1</v>
      </c>
      <c r="B2" s="10" t="s">
        <v>2</v>
      </c>
      <c r="C2" s="11">
        <v>7.0000000000000007E-2</v>
      </c>
      <c r="D2" s="12" t="s">
        <v>17</v>
      </c>
    </row>
    <row r="3" spans="1:4" ht="15.75" x14ac:dyDescent="0.25">
      <c r="A3" s="9" t="s">
        <v>3</v>
      </c>
      <c r="B3" s="10" t="s">
        <v>4</v>
      </c>
      <c r="C3" s="13">
        <v>30</v>
      </c>
      <c r="D3" s="12" t="s">
        <v>18</v>
      </c>
    </row>
    <row r="4" spans="1:4" x14ac:dyDescent="0.25">
      <c r="A4" s="9" t="s">
        <v>5</v>
      </c>
      <c r="B4" s="10" t="s">
        <v>6</v>
      </c>
      <c r="C4" s="13">
        <v>2026</v>
      </c>
      <c r="D4" s="14"/>
    </row>
    <row r="5" spans="1:4" x14ac:dyDescent="0.25">
      <c r="A5" s="9" t="s">
        <v>7</v>
      </c>
      <c r="B5" s="10" t="s">
        <v>6</v>
      </c>
      <c r="C5" s="13">
        <f>C4+30</f>
        <v>2056</v>
      </c>
      <c r="D5" s="14"/>
    </row>
    <row r="6" spans="1:4" x14ac:dyDescent="0.25">
      <c r="A6" s="9" t="s">
        <v>8</v>
      </c>
      <c r="B6" s="10" t="s">
        <v>9</v>
      </c>
      <c r="C6" s="13">
        <v>17</v>
      </c>
      <c r="D6" s="14"/>
    </row>
    <row r="7" spans="1:4" x14ac:dyDescent="0.25">
      <c r="A7" s="9" t="s">
        <v>10</v>
      </c>
      <c r="B7" s="10" t="s">
        <v>9</v>
      </c>
      <c r="C7" s="13">
        <v>4.5</v>
      </c>
      <c r="D7" s="14"/>
    </row>
    <row r="8" spans="1:4" x14ac:dyDescent="0.25">
      <c r="A8" s="9" t="s">
        <v>11</v>
      </c>
      <c r="B8" s="10" t="s">
        <v>9</v>
      </c>
      <c r="C8" s="13">
        <f>SUM(C6:C7)</f>
        <v>21.5</v>
      </c>
      <c r="D8" s="14"/>
    </row>
    <row r="9" spans="1:4" x14ac:dyDescent="0.25">
      <c r="A9" s="9" t="s">
        <v>12</v>
      </c>
      <c r="B9" s="10" t="s">
        <v>13</v>
      </c>
      <c r="C9" s="13">
        <v>1</v>
      </c>
      <c r="D9" s="14"/>
    </row>
    <row r="10" spans="1:4" x14ac:dyDescent="0.25">
      <c r="A10" s="9" t="s">
        <v>15</v>
      </c>
      <c r="B10" s="10" t="s">
        <v>9</v>
      </c>
      <c r="C10" s="15">
        <v>7.0979999999999999</v>
      </c>
      <c r="D10" s="14"/>
    </row>
    <row r="11" spans="1:4" x14ac:dyDescent="0.25">
      <c r="A11" s="9" t="s">
        <v>16</v>
      </c>
      <c r="B11" s="10" t="s">
        <v>9</v>
      </c>
      <c r="C11" s="15">
        <v>2.907</v>
      </c>
      <c r="D11" s="14"/>
    </row>
    <row r="12" spans="1:4" x14ac:dyDescent="0.25">
      <c r="A12" s="9" t="s">
        <v>14</v>
      </c>
      <c r="B12" s="10" t="s">
        <v>9</v>
      </c>
      <c r="C12" s="15">
        <f>SUM(C10:C11)</f>
        <v>10.004999999999999</v>
      </c>
      <c r="D12" s="14"/>
    </row>
    <row r="13" spans="1:4" s="2" customFormat="1" x14ac:dyDescent="0.25">
      <c r="A13" s="16" t="s">
        <v>19</v>
      </c>
      <c r="B13" s="17"/>
      <c r="C13" s="17"/>
      <c r="D13" s="18"/>
    </row>
    <row r="14" spans="1:4" x14ac:dyDescent="0.25">
      <c r="A14" s="9" t="s">
        <v>20</v>
      </c>
      <c r="B14" s="13" t="s">
        <v>25</v>
      </c>
      <c r="C14" s="19">
        <v>60000</v>
      </c>
      <c r="D14" s="14" t="s">
        <v>51</v>
      </c>
    </row>
    <row r="15" spans="1:4" x14ac:dyDescent="0.25">
      <c r="A15" s="9" t="s">
        <v>21</v>
      </c>
      <c r="B15" s="13" t="s">
        <v>25</v>
      </c>
      <c r="C15" s="19">
        <v>30000</v>
      </c>
      <c r="D15" s="14" t="s">
        <v>51</v>
      </c>
    </row>
    <row r="16" spans="1:4" x14ac:dyDescent="0.25">
      <c r="A16" s="9" t="s">
        <v>22</v>
      </c>
      <c r="B16" s="13" t="s">
        <v>25</v>
      </c>
      <c r="C16" s="19">
        <v>25000</v>
      </c>
      <c r="D16" s="14" t="s">
        <v>51</v>
      </c>
    </row>
    <row r="17" spans="1:4" x14ac:dyDescent="0.25">
      <c r="A17" s="9" t="s">
        <v>23</v>
      </c>
      <c r="B17" s="13" t="s">
        <v>26</v>
      </c>
      <c r="C17" s="19">
        <v>110000</v>
      </c>
      <c r="D17" s="14" t="s">
        <v>52</v>
      </c>
    </row>
    <row r="18" spans="1:4" x14ac:dyDescent="0.25">
      <c r="A18" s="9" t="s">
        <v>24</v>
      </c>
      <c r="B18" s="13" t="s">
        <v>26</v>
      </c>
      <c r="C18" s="19">
        <v>5000</v>
      </c>
      <c r="D18" s="14" t="s">
        <v>52</v>
      </c>
    </row>
    <row r="19" spans="1:4" s="2" customFormat="1" x14ac:dyDescent="0.25">
      <c r="A19" s="16" t="s">
        <v>27</v>
      </c>
      <c r="B19" s="17"/>
      <c r="C19" s="17"/>
      <c r="D19" s="18"/>
    </row>
    <row r="20" spans="1:4" x14ac:dyDescent="0.25">
      <c r="A20" s="9" t="s">
        <v>28</v>
      </c>
      <c r="B20" s="13" t="s">
        <v>29</v>
      </c>
      <c r="C20" s="20">
        <v>19720</v>
      </c>
      <c r="D20" s="14" t="s">
        <v>53</v>
      </c>
    </row>
    <row r="21" spans="1:4" x14ac:dyDescent="0.25">
      <c r="A21" s="9" t="s">
        <v>30</v>
      </c>
      <c r="B21" s="13" t="s">
        <v>29</v>
      </c>
      <c r="C21" s="20">
        <v>19888</v>
      </c>
      <c r="D21" s="14" t="s">
        <v>53</v>
      </c>
    </row>
    <row r="22" spans="1:4" x14ac:dyDescent="0.25">
      <c r="A22" s="9" t="s">
        <v>31</v>
      </c>
      <c r="B22" s="13" t="s">
        <v>2</v>
      </c>
      <c r="C22" s="20">
        <v>70</v>
      </c>
      <c r="D22" s="14" t="s">
        <v>53</v>
      </c>
    </row>
    <row r="23" spans="1:4" x14ac:dyDescent="0.25">
      <c r="A23" s="9" t="s">
        <v>32</v>
      </c>
      <c r="B23" s="13" t="s">
        <v>2</v>
      </c>
      <c r="C23" s="20">
        <v>70</v>
      </c>
      <c r="D23" s="14" t="s">
        <v>53</v>
      </c>
    </row>
    <row r="24" spans="1:4" x14ac:dyDescent="0.25">
      <c r="A24" s="9" t="s">
        <v>33</v>
      </c>
      <c r="B24" s="13"/>
      <c r="C24" s="20"/>
      <c r="D24" s="14"/>
    </row>
    <row r="25" spans="1:4" x14ac:dyDescent="0.25">
      <c r="A25" s="9" t="s">
        <v>34</v>
      </c>
      <c r="B25" s="13" t="s">
        <v>29</v>
      </c>
      <c r="C25" s="20">
        <v>1500</v>
      </c>
      <c r="D25" s="14" t="s">
        <v>54</v>
      </c>
    </row>
    <row r="26" spans="1:4" x14ac:dyDescent="0.25">
      <c r="A26" s="9" t="s">
        <v>35</v>
      </c>
      <c r="B26" s="13" t="s">
        <v>29</v>
      </c>
      <c r="C26" s="20">
        <v>800</v>
      </c>
      <c r="D26" s="14" t="s">
        <v>54</v>
      </c>
    </row>
    <row r="27" spans="1:4" x14ac:dyDescent="0.25">
      <c r="A27" s="9" t="s">
        <v>36</v>
      </c>
      <c r="B27" s="13"/>
      <c r="C27" s="20"/>
      <c r="D27" s="14"/>
    </row>
    <row r="28" spans="1:4" x14ac:dyDescent="0.25">
      <c r="A28" s="9" t="s">
        <v>37</v>
      </c>
      <c r="B28" s="13" t="s">
        <v>29</v>
      </c>
      <c r="C28" s="20">
        <v>2705</v>
      </c>
      <c r="D28" s="14" t="s">
        <v>54</v>
      </c>
    </row>
    <row r="29" spans="1:4" x14ac:dyDescent="0.25">
      <c r="A29" s="9" t="s">
        <v>38</v>
      </c>
      <c r="B29" s="13" t="s">
        <v>29</v>
      </c>
      <c r="C29" s="20">
        <v>1122</v>
      </c>
      <c r="D29" s="14" t="s">
        <v>54</v>
      </c>
    </row>
    <row r="30" spans="1:4" x14ac:dyDescent="0.25">
      <c r="A30" s="9" t="s">
        <v>39</v>
      </c>
      <c r="B30" s="13" t="s">
        <v>29</v>
      </c>
      <c r="C30" s="20">
        <v>650</v>
      </c>
      <c r="D30" s="14" t="s">
        <v>54</v>
      </c>
    </row>
    <row r="31" spans="1:4" x14ac:dyDescent="0.25">
      <c r="A31" s="9" t="s">
        <v>40</v>
      </c>
      <c r="B31" s="13" t="s">
        <v>29</v>
      </c>
      <c r="C31" s="20">
        <v>400</v>
      </c>
      <c r="D31" s="14" t="s">
        <v>54</v>
      </c>
    </row>
    <row r="32" spans="1:4" x14ac:dyDescent="0.25">
      <c r="A32" s="9" t="s">
        <v>41</v>
      </c>
      <c r="B32" s="13" t="s">
        <v>42</v>
      </c>
      <c r="C32" s="20">
        <v>5500</v>
      </c>
      <c r="D32" s="14" t="s">
        <v>52</v>
      </c>
    </row>
    <row r="33" spans="1:4" x14ac:dyDescent="0.25">
      <c r="A33" s="9" t="s">
        <v>43</v>
      </c>
      <c r="B33" s="13" t="s">
        <v>29</v>
      </c>
      <c r="C33" s="20">
        <v>200</v>
      </c>
      <c r="D33" s="14" t="s">
        <v>52</v>
      </c>
    </row>
    <row r="34" spans="1:4" s="2" customFormat="1" x14ac:dyDescent="0.25">
      <c r="A34" s="16" t="s">
        <v>44</v>
      </c>
      <c r="B34" s="17"/>
      <c r="C34" s="17"/>
      <c r="D34" s="18"/>
    </row>
    <row r="35" spans="1:4" x14ac:dyDescent="0.25">
      <c r="A35" s="9" t="s">
        <v>45</v>
      </c>
      <c r="B35" s="13" t="s">
        <v>46</v>
      </c>
      <c r="C35" s="13">
        <v>55.3</v>
      </c>
      <c r="D35" s="14" t="s">
        <v>50</v>
      </c>
    </row>
    <row r="36" spans="1:4" x14ac:dyDescent="0.25">
      <c r="A36" s="9" t="s">
        <v>47</v>
      </c>
      <c r="B36" s="13" t="s">
        <v>46</v>
      </c>
      <c r="C36" s="13">
        <v>46.5</v>
      </c>
      <c r="D36" s="14" t="s">
        <v>50</v>
      </c>
    </row>
    <row r="37" spans="1:4" x14ac:dyDescent="0.25">
      <c r="A37" s="9" t="s">
        <v>48</v>
      </c>
      <c r="B37" s="13" t="s">
        <v>46</v>
      </c>
      <c r="C37" s="13">
        <v>31.7</v>
      </c>
      <c r="D37" s="14" t="s">
        <v>50</v>
      </c>
    </row>
    <row r="38" spans="1:4" x14ac:dyDescent="0.25">
      <c r="A38" s="9" t="s">
        <v>49</v>
      </c>
      <c r="B38" s="13" t="s">
        <v>46</v>
      </c>
      <c r="C38" s="13">
        <v>17.600000000000001</v>
      </c>
      <c r="D38" s="14" t="s">
        <v>50</v>
      </c>
    </row>
    <row r="39" spans="1:4" s="2" customFormat="1" x14ac:dyDescent="0.25">
      <c r="A39" s="16" t="s">
        <v>55</v>
      </c>
      <c r="B39" s="17"/>
      <c r="C39" s="17"/>
      <c r="D39" s="18"/>
    </row>
    <row r="40" spans="1:4" x14ac:dyDescent="0.25">
      <c r="A40" s="9" t="s">
        <v>104</v>
      </c>
      <c r="B40" s="13" t="s">
        <v>56</v>
      </c>
      <c r="C40" s="21">
        <f>1624</f>
        <v>1624.0</v>
      </c>
      <c r="D40" s="22" t="s">
        <v>98</v>
      </c>
    </row>
    <row r="41" spans="1:4" x14ac:dyDescent="0.25">
      <c r="A41" s="9" t="s">
        <v>99</v>
      </c>
      <c r="B41" s="13" t="s">
        <v>100</v>
      </c>
      <c r="C41" s="23">
        <f>(1+2.1%)*(1+3.8%)</f>
        <v>1.059798</v>
      </c>
      <c r="D41" s="22" t="s">
        <v>101</v>
      </c>
    </row>
    <row r="42" spans="1:4" ht="15.75" thickBot="1" x14ac:dyDescent="0.3">
      <c r="A42" s="24" t="s">
        <v>102</v>
      </c>
      <c r="B42" s="25" t="s">
        <v>56</v>
      </c>
      <c r="C42" s="26">
        <f>C40*C41</f>
        <v>1721.111952</v>
      </c>
      <c r="D42" s="27" t="s">
        <v>103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156E-EED9-4205-A7F1-9100F71F6C49}">
  <sheetPr>
    <tabColor theme="3" tint="0.89999084444715716"/>
  </sheetPr>
  <dimension ref="A1:AF84"/>
  <sheetViews>
    <sheetView workbookViewId="0">
      <pane xSplit="2" topLeftCell="C1" activePane="topRight" state="frozen"/>
      <selection pane="topRight" activeCell="A83" sqref="A83"/>
    </sheetView>
  </sheetViews>
  <sheetFormatPr defaultRowHeight="15" x14ac:dyDescent="0.25"/>
  <cols>
    <col min="1" max="1" width="102.7109375" style="1" bestFit="1" customWidth="1"/>
    <col min="2" max="2" width="18.140625" style="1" customWidth="1"/>
    <col min="3" max="32" width="15.28515625" style="1" customWidth="1"/>
    <col min="33" max="16384" width="9.140625" style="1"/>
  </cols>
  <sheetData>
    <row r="1" spans="1:32" ht="18.75" x14ac:dyDescent="0.3">
      <c r="A1" s="3" t="s">
        <v>62</v>
      </c>
    </row>
    <row r="2" spans="1:32" x14ac:dyDescent="0.25">
      <c r="A2" s="4"/>
    </row>
    <row r="3" spans="1:32" ht="15.75" thickBot="1" x14ac:dyDescent="0.3"/>
    <row r="4" spans="1:32" ht="15.75" thickBot="1" x14ac:dyDescent="0.3">
      <c r="A4" s="29" t="s">
        <v>63</v>
      </c>
      <c r="B4" s="30"/>
    </row>
    <row r="5" spans="1:32" x14ac:dyDescent="0.25">
      <c r="A5" s="9" t="s">
        <v>1</v>
      </c>
      <c r="B5" s="35">
        <f>Inputs!C2</f>
        <v>0.07</v>
      </c>
    </row>
    <row r="6" spans="1:32" x14ac:dyDescent="0.25">
      <c r="A6" s="9" t="s">
        <v>57</v>
      </c>
      <c r="B6" s="36">
        <f>Inputs!C3</f>
        <v>30.0</v>
      </c>
    </row>
    <row r="7" spans="1:32" x14ac:dyDescent="0.25">
      <c r="A7" s="9" t="s">
        <v>58</v>
      </c>
      <c r="B7" s="37">
        <f>Inputs!C8</f>
        <v>21.5</v>
      </c>
    </row>
    <row r="8" spans="1:32" x14ac:dyDescent="0.25">
      <c r="A8" s="9" t="s">
        <v>59</v>
      </c>
      <c r="B8" s="38">
        <f>Inputs!C9*Inputs!C12</f>
        <v>10.005</v>
      </c>
    </row>
    <row r="9" spans="1:32" x14ac:dyDescent="0.25">
      <c r="A9" s="9" t="s">
        <v>64</v>
      </c>
      <c r="B9" s="39">
        <f>Inputs!C12</f>
        <v>10.005</v>
      </c>
    </row>
    <row r="10" spans="1:32" x14ac:dyDescent="0.25">
      <c r="A10" s="9" t="s">
        <v>105</v>
      </c>
      <c r="B10" s="40">
        <f>Inputs!C42</f>
        <v>1721.111952</v>
      </c>
    </row>
    <row r="11" spans="1:32" ht="15.75" thickBot="1" x14ac:dyDescent="0.3">
      <c r="A11" s="28" t="s">
        <v>65</v>
      </c>
      <c r="B11" s="41">
        <f>Inputs!C22/100</f>
        <v>0.7</v>
      </c>
    </row>
    <row r="12" spans="1:32" ht="15.75" thickBot="1" x14ac:dyDescent="0.3"/>
    <row r="13" spans="1:32" x14ac:dyDescent="0.25">
      <c r="A13" s="31"/>
      <c r="B13" s="32" t="s">
        <v>66</v>
      </c>
      <c r="C13" s="33">
        <f>Inputs!C4</f>
        <v>2026</v>
      </c>
      <c r="D13" s="33">
        <f>C13+1</f>
        <v>2027</v>
      </c>
      <c r="E13" s="33">
        <f t="shared" ref="E13:AF13" si="0">D13+1</f>
        <v>2028</v>
      </c>
      <c r="F13" s="33">
        <f t="shared" si="0"/>
        <v>2029</v>
      </c>
      <c r="G13" s="33">
        <f t="shared" si="0"/>
        <v>2030</v>
      </c>
      <c r="H13" s="33">
        <f t="shared" si="0"/>
        <v>2031</v>
      </c>
      <c r="I13" s="33">
        <f t="shared" si="0"/>
        <v>2032</v>
      </c>
      <c r="J13" s="33">
        <f t="shared" si="0"/>
        <v>2033</v>
      </c>
      <c r="K13" s="33">
        <f t="shared" si="0"/>
        <v>2034</v>
      </c>
      <c r="L13" s="33">
        <f t="shared" si="0"/>
        <v>2035</v>
      </c>
      <c r="M13" s="33">
        <f t="shared" si="0"/>
        <v>2036</v>
      </c>
      <c r="N13" s="33">
        <f t="shared" si="0"/>
        <v>2037</v>
      </c>
      <c r="O13" s="33">
        <f t="shared" si="0"/>
        <v>2038</v>
      </c>
      <c r="P13" s="33">
        <f t="shared" si="0"/>
        <v>2039</v>
      </c>
      <c r="Q13" s="33">
        <f t="shared" si="0"/>
        <v>2040</v>
      </c>
      <c r="R13" s="33">
        <f t="shared" si="0"/>
        <v>2041</v>
      </c>
      <c r="S13" s="33">
        <f t="shared" si="0"/>
        <v>2042</v>
      </c>
      <c r="T13" s="33">
        <f t="shared" si="0"/>
        <v>2043</v>
      </c>
      <c r="U13" s="33">
        <f t="shared" si="0"/>
        <v>2044</v>
      </c>
      <c r="V13" s="33">
        <f t="shared" si="0"/>
        <v>2045</v>
      </c>
      <c r="W13" s="33">
        <f t="shared" si="0"/>
        <v>2046</v>
      </c>
      <c r="X13" s="33">
        <f t="shared" si="0"/>
        <v>2047</v>
      </c>
      <c r="Y13" s="33">
        <f t="shared" si="0"/>
        <v>2048</v>
      </c>
      <c r="Z13" s="33">
        <f t="shared" si="0"/>
        <v>2049</v>
      </c>
      <c r="AA13" s="33">
        <f t="shared" si="0"/>
        <v>2050</v>
      </c>
      <c r="AB13" s="33">
        <f t="shared" si="0"/>
        <v>2051</v>
      </c>
      <c r="AC13" s="33">
        <f t="shared" si="0"/>
        <v>2052</v>
      </c>
      <c r="AD13" s="33">
        <f t="shared" si="0"/>
        <v>2053</v>
      </c>
      <c r="AE13" s="33">
        <f t="shared" si="0"/>
        <v>2054</v>
      </c>
      <c r="AF13" s="34">
        <f t="shared" si="0"/>
        <v>2055</v>
      </c>
    </row>
    <row r="14" spans="1:32" ht="15.75" thickBot="1" x14ac:dyDescent="0.3">
      <c r="A14" s="28" t="s">
        <v>67</v>
      </c>
      <c r="B14" s="25"/>
      <c r="C14" s="42">
        <f>1/(1+$B$5)^(C$13-Inputs!$C$4)</f>
        <v>1.0</v>
      </c>
      <c r="D14" s="42">
        <f>1/(1+$B$5)^(D$13-Inputs!$C$4)</f>
        <v>0.934579439252336</v>
      </c>
      <c r="E14" s="42">
        <f>1/(1+$B$5)^(E$13-Inputs!$C$4)</f>
        <v>0.873438728273212</v>
      </c>
      <c r="F14" s="42">
        <f>1/(1+$B$5)^(F$13-Inputs!$C$4)</f>
        <v>0.816297876890852</v>
      </c>
      <c r="G14" s="42">
        <f>1/(1+$B$5)^(G$13-Inputs!$C$4)</f>
        <v>0.762895212047525</v>
      </c>
      <c r="H14" s="42">
        <f>1/(1+$B$5)^(H$13-Inputs!$C$4)</f>
        <v>0.712986179483668</v>
      </c>
      <c r="I14" s="42">
        <f>1/(1+$B$5)^(I$13-Inputs!$C$4)</f>
        <v>0.666342223816512</v>
      </c>
      <c r="J14" s="42">
        <f>1/(1+$B$5)^(J$13-Inputs!$C$4)</f>
        <v>0.622749741884591</v>
      </c>
      <c r="K14" s="42">
        <f>1/(1+$B$5)^(K$13-Inputs!$C$4)</f>
        <v>0.582009104565038</v>
      </c>
      <c r="L14" s="42">
        <f>1/(1+$B$5)^(L$13-Inputs!$C$4)</f>
        <v>0.543933742584148</v>
      </c>
      <c r="M14" s="42">
        <f>1/(1+$B$5)^(M$13-Inputs!$C$4)</f>
        <v>0.508349292134718</v>
      </c>
      <c r="N14" s="42">
        <f>1/(1+$B$5)^(N$13-Inputs!$C$4)</f>
        <v>0.475092796387586</v>
      </c>
      <c r="O14" s="42">
        <f>1/(1+$B$5)^(O$13-Inputs!$C$4)</f>
        <v>0.444011959240735</v>
      </c>
      <c r="P14" s="42">
        <f>1/(1+$B$5)^(P$13-Inputs!$C$4)</f>
        <v>0.414964447888537</v>
      </c>
      <c r="Q14" s="42">
        <f>1/(1+$B$5)^(Q$13-Inputs!$C$4)</f>
        <v>0.387817241017325</v>
      </c>
      <c r="R14" s="42">
        <f>1/(1+$B$5)^(R$13-Inputs!$C$4)</f>
        <v>0.362446019642359</v>
      </c>
      <c r="S14" s="42">
        <f>1/(1+$B$5)^(S$13-Inputs!$C$4)</f>
        <v>0.338734597796598</v>
      </c>
      <c r="T14" s="42">
        <f>1/(1+$B$5)^(T$13-Inputs!$C$4)</f>
        <v>0.31657439046411</v>
      </c>
      <c r="U14" s="42">
        <f>1/(1+$B$5)^(U$13-Inputs!$C$4)</f>
        <v>0.295863916321598</v>
      </c>
      <c r="V14" s="42">
        <f>1/(1+$B$5)^(V$13-Inputs!$C$4)</f>
        <v>0.276508333010839</v>
      </c>
      <c r="W14" s="42">
        <f>1/(1+$B$5)^(W$13-Inputs!$C$4)</f>
        <v>0.258419002813868</v>
      </c>
      <c r="X14" s="42">
        <f>1/(1+$B$5)^(X$13-Inputs!$C$4)</f>
        <v>0.241513086741933</v>
      </c>
      <c r="Y14" s="42">
        <f>1/(1+$B$5)^(Y$13-Inputs!$C$4)</f>
        <v>0.225713165179377</v>
      </c>
      <c r="Z14" s="42">
        <f>1/(1+$B$5)^(Z$13-Inputs!$C$4)</f>
        <v>0.210946883345212</v>
      </c>
      <c r="AA14" s="42">
        <f>1/(1+$B$5)^(AA$13-Inputs!$C$4)</f>
        <v>0.197146619948796</v>
      </c>
      <c r="AB14" s="42">
        <f>1/(1+$B$5)^(AB$13-Inputs!$C$4)</f>
        <v>0.184249177522239</v>
      </c>
      <c r="AC14" s="42">
        <f>1/(1+$B$5)^(AC$13-Inputs!$C$4)</f>
        <v>0.172195493011439</v>
      </c>
      <c r="AD14" s="42">
        <f>1/(1+$B$5)^(AD$13-Inputs!$C$4)</f>
        <v>0.16093036730041</v>
      </c>
      <c r="AE14" s="42">
        <f>1/(1+$B$5)^(AE$13-Inputs!$C$4)</f>
        <v>0.15040221243029</v>
      </c>
      <c r="AF14" s="43">
        <f>1/(1+$B$5)^(AF$13-Inputs!$C$4)</f>
        <v>0.140562815355411</v>
      </c>
    </row>
    <row r="15" spans="1:32" x14ac:dyDescent="0.25">
      <c r="A15" s="31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5"/>
    </row>
    <row r="16" spans="1:32" x14ac:dyDescent="0.25">
      <c r="A16" s="16" t="s">
        <v>60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</row>
    <row r="17" spans="1:32" x14ac:dyDescent="0.25">
      <c r="A17" s="9" t="s">
        <v>68</v>
      </c>
      <c r="B17" s="46">
        <f>SUMPRODUCT(C17:AF17,$C$14:$AF$14)</f>
        <v>4451207.4540036</v>
      </c>
      <c r="C17" s="46">
        <f>Inputs!$C$20*Inputs!$C$6</f>
        <v>335240.0</v>
      </c>
      <c r="D17" s="46">
        <f>Inputs!$C$20*Inputs!$C$6</f>
        <v>335240.0</v>
      </c>
      <c r="E17" s="46">
        <f>Inputs!$C$20*Inputs!$C$6</f>
        <v>335240.0</v>
      </c>
      <c r="F17" s="46">
        <f>Inputs!$C$20*Inputs!$C$6</f>
        <v>335240.0</v>
      </c>
      <c r="G17" s="46">
        <f>Inputs!$C$20*Inputs!$C$6</f>
        <v>335240.0</v>
      </c>
      <c r="H17" s="46">
        <f>Inputs!$C$20*Inputs!$C$6</f>
        <v>335240.0</v>
      </c>
      <c r="I17" s="46">
        <f>Inputs!$C$20*Inputs!$C$6</f>
        <v>335240.0</v>
      </c>
      <c r="J17" s="46">
        <f>Inputs!$C$20*Inputs!$C$6</f>
        <v>335240.0</v>
      </c>
      <c r="K17" s="46">
        <f>Inputs!$C$20*Inputs!$C$6</f>
        <v>335240.0</v>
      </c>
      <c r="L17" s="46">
        <f>Inputs!$C$20*Inputs!$C$6</f>
        <v>335240.0</v>
      </c>
      <c r="M17" s="46">
        <f>Inputs!$C$20*Inputs!$C$6</f>
        <v>335240.0</v>
      </c>
      <c r="N17" s="46">
        <f>Inputs!$C$20*Inputs!$C$6</f>
        <v>335240.0</v>
      </c>
      <c r="O17" s="46">
        <f>Inputs!$C$20*Inputs!$C$6</f>
        <v>335240.0</v>
      </c>
      <c r="P17" s="46">
        <f>Inputs!$C$20*Inputs!$C$6</f>
        <v>335240.0</v>
      </c>
      <c r="Q17" s="46">
        <f>Inputs!$C$20*Inputs!$C$6</f>
        <v>335240.0</v>
      </c>
      <c r="R17" s="46">
        <f>Inputs!$C$20*Inputs!$C$6</f>
        <v>335240.0</v>
      </c>
      <c r="S17" s="46">
        <f>Inputs!$C$20*Inputs!$C$6</f>
        <v>335240.0</v>
      </c>
      <c r="T17" s="46">
        <f>Inputs!$C$20*Inputs!$C$6</f>
        <v>335240.0</v>
      </c>
      <c r="U17" s="46">
        <f>Inputs!$C$20*Inputs!$C$6</f>
        <v>335240.0</v>
      </c>
      <c r="V17" s="46">
        <f>Inputs!$C$20*Inputs!$C$6</f>
        <v>335240.0</v>
      </c>
      <c r="W17" s="46">
        <f>Inputs!$C$20*Inputs!$C$6</f>
        <v>335240.0</v>
      </c>
      <c r="X17" s="46">
        <f>Inputs!$C$20*Inputs!$C$6</f>
        <v>335240.0</v>
      </c>
      <c r="Y17" s="46">
        <f>Inputs!$C$20*Inputs!$C$6</f>
        <v>335240.0</v>
      </c>
      <c r="Z17" s="46">
        <f>Inputs!$C$20*Inputs!$C$6</f>
        <v>335240.0</v>
      </c>
      <c r="AA17" s="46">
        <f>Inputs!$C$20*Inputs!$C$6</f>
        <v>335240.0</v>
      </c>
      <c r="AB17" s="46">
        <f>Inputs!$C$20*Inputs!$C$6</f>
        <v>335240.0</v>
      </c>
      <c r="AC17" s="46">
        <f>Inputs!$C$20*Inputs!$C$6</f>
        <v>335240.0</v>
      </c>
      <c r="AD17" s="46">
        <f>Inputs!$C$20*Inputs!$C$6</f>
        <v>335240.0</v>
      </c>
      <c r="AE17" s="46">
        <f>Inputs!$C$20*Inputs!$C$6</f>
        <v>335240.0</v>
      </c>
      <c r="AF17" s="47">
        <f>Inputs!$C$20*Inputs!$C$6</f>
        <v>335240.0</v>
      </c>
    </row>
    <row r="18" spans="1:32" x14ac:dyDescent="0.25">
      <c r="A18" s="9" t="s">
        <v>69</v>
      </c>
      <c r="B18" s="46">
        <f>SUMPRODUCT(C18:AF18,$C$14:$AF$14)</f>
        <v>1188298.71824217</v>
      </c>
      <c r="C18" s="46">
        <f>Inputs!$C$21*Inputs!$C$7</f>
        <v>89496.0</v>
      </c>
      <c r="D18" s="46">
        <f>Inputs!$C$21*Inputs!$C$7</f>
        <v>89496.0</v>
      </c>
      <c r="E18" s="46">
        <f>Inputs!$C$21*Inputs!$C$7</f>
        <v>89496.0</v>
      </c>
      <c r="F18" s="46">
        <f>Inputs!$C$21*Inputs!$C$7</f>
        <v>89496.0</v>
      </c>
      <c r="G18" s="46">
        <f>Inputs!$C$21*Inputs!$C$7</f>
        <v>89496.0</v>
      </c>
      <c r="H18" s="46">
        <f>Inputs!$C$21*Inputs!$C$7</f>
        <v>89496.0</v>
      </c>
      <c r="I18" s="46">
        <f>Inputs!$C$21*Inputs!$C$7</f>
        <v>89496.0</v>
      </c>
      <c r="J18" s="46">
        <f>Inputs!$C$21*Inputs!$C$7</f>
        <v>89496.0</v>
      </c>
      <c r="K18" s="46">
        <f>Inputs!$C$21*Inputs!$C$7</f>
        <v>89496.0</v>
      </c>
      <c r="L18" s="46">
        <f>Inputs!$C$21*Inputs!$C$7</f>
        <v>89496.0</v>
      </c>
      <c r="M18" s="46">
        <f>Inputs!$C$21*Inputs!$C$7</f>
        <v>89496.0</v>
      </c>
      <c r="N18" s="46">
        <f>Inputs!$C$21*Inputs!$C$7</f>
        <v>89496.0</v>
      </c>
      <c r="O18" s="46">
        <f>Inputs!$C$21*Inputs!$C$7</f>
        <v>89496.0</v>
      </c>
      <c r="P18" s="46">
        <f>Inputs!$C$21*Inputs!$C$7</f>
        <v>89496.0</v>
      </c>
      <c r="Q18" s="46">
        <f>Inputs!$C$21*Inputs!$C$7</f>
        <v>89496.0</v>
      </c>
      <c r="R18" s="46">
        <f>Inputs!$C$21*Inputs!$C$7</f>
        <v>89496.0</v>
      </c>
      <c r="S18" s="46">
        <f>Inputs!$C$21*Inputs!$C$7</f>
        <v>89496.0</v>
      </c>
      <c r="T18" s="46">
        <f>Inputs!$C$21*Inputs!$C$7</f>
        <v>89496.0</v>
      </c>
      <c r="U18" s="46">
        <f>Inputs!$C$21*Inputs!$C$7</f>
        <v>89496.0</v>
      </c>
      <c r="V18" s="46">
        <f>Inputs!$C$21*Inputs!$C$7</f>
        <v>89496.0</v>
      </c>
      <c r="W18" s="46">
        <f>Inputs!$C$21*Inputs!$C$7</f>
        <v>89496.0</v>
      </c>
      <c r="X18" s="46">
        <f>Inputs!$C$21*Inputs!$C$7</f>
        <v>89496.0</v>
      </c>
      <c r="Y18" s="46">
        <f>Inputs!$C$21*Inputs!$C$7</f>
        <v>89496.0</v>
      </c>
      <c r="Z18" s="46">
        <f>Inputs!$C$21*Inputs!$C$7</f>
        <v>89496.0</v>
      </c>
      <c r="AA18" s="46">
        <f>Inputs!$C$21*Inputs!$C$7</f>
        <v>89496.0</v>
      </c>
      <c r="AB18" s="46">
        <f>Inputs!$C$21*Inputs!$C$7</f>
        <v>89496.0</v>
      </c>
      <c r="AC18" s="46">
        <f>Inputs!$C$21*Inputs!$C$7</f>
        <v>89496.0</v>
      </c>
      <c r="AD18" s="46">
        <f>Inputs!$C$21*Inputs!$C$7</f>
        <v>89496.0</v>
      </c>
      <c r="AE18" s="46">
        <f>Inputs!$C$21*Inputs!$C$7</f>
        <v>89496.0</v>
      </c>
      <c r="AF18" s="47">
        <f>Inputs!$C$21*Inputs!$C$7</f>
        <v>89496.0</v>
      </c>
    </row>
    <row r="19" spans="1:32" x14ac:dyDescent="0.25">
      <c r="A19" s="48" t="s">
        <v>70</v>
      </c>
      <c r="B19" s="49">
        <f>SUMPRODUCT(C19:AF19,$C$14:$AF$14)</f>
        <v>5639506.17224577</v>
      </c>
      <c r="C19" s="49">
        <f>SUM(C17:C18)</f>
        <v>424736.0</v>
      </c>
      <c r="D19" s="49">
        <f>SUM(D17:D18)</f>
        <v>424736.0</v>
      </c>
      <c r="E19" s="49">
        <f>SUM(E17:E18)</f>
        <v>424736.0</v>
      </c>
      <c r="F19" s="49">
        <f>SUM(F17:F18)</f>
        <v>424736.0</v>
      </c>
      <c r="G19" s="49">
        <f>SUM(G17:G18)</f>
        <v>424736.0</v>
      </c>
      <c r="H19" s="49">
        <f>SUM(H17:H18)</f>
        <v>424736.0</v>
      </c>
      <c r="I19" s="49">
        <f>SUM(I17:I18)</f>
        <v>424736.0</v>
      </c>
      <c r="J19" s="49">
        <f>SUM(J17:J18)</f>
        <v>424736.0</v>
      </c>
      <c r="K19" s="49">
        <f>SUM(K17:K18)</f>
        <v>424736.0</v>
      </c>
      <c r="L19" s="49">
        <f>SUM(L17:L18)</f>
        <v>424736.0</v>
      </c>
      <c r="M19" s="49">
        <f>SUM(M17:M18)</f>
        <v>424736.0</v>
      </c>
      <c r="N19" s="49">
        <f>SUM(N17:N18)</f>
        <v>424736.0</v>
      </c>
      <c r="O19" s="49">
        <f>SUM(O17:O18)</f>
        <v>424736.0</v>
      </c>
      <c r="P19" s="49">
        <f>SUM(P17:P18)</f>
        <v>424736.0</v>
      </c>
      <c r="Q19" s="49">
        <f>SUM(Q17:Q18)</f>
        <v>424736.0</v>
      </c>
      <c r="R19" s="49">
        <f>SUM(R17:R18)</f>
        <v>424736.0</v>
      </c>
      <c r="S19" s="49">
        <f>SUM(S17:S18)</f>
        <v>424736.0</v>
      </c>
      <c r="T19" s="49">
        <f>SUM(T17:T18)</f>
        <v>424736.0</v>
      </c>
      <c r="U19" s="49">
        <f>SUM(U17:U18)</f>
        <v>424736.0</v>
      </c>
      <c r="V19" s="49">
        <f>SUM(V17:V18)</f>
        <v>424736.0</v>
      </c>
      <c r="W19" s="49">
        <f>SUM(W17:W18)</f>
        <v>424736.0</v>
      </c>
      <c r="X19" s="49">
        <f>SUM(X17:X18)</f>
        <v>424736.0</v>
      </c>
      <c r="Y19" s="49">
        <f>SUM(Y17:Y18)</f>
        <v>424736.0</v>
      </c>
      <c r="Z19" s="49">
        <f>SUM(Z17:Z18)</f>
        <v>424736.0</v>
      </c>
      <c r="AA19" s="49">
        <f>SUM(AA17:AA18)</f>
        <v>424736.0</v>
      </c>
      <c r="AB19" s="49">
        <f>SUM(AB17:AB18)</f>
        <v>424736.0</v>
      </c>
      <c r="AC19" s="49">
        <f>SUM(AC17:AC18)</f>
        <v>424736.0</v>
      </c>
      <c r="AD19" s="49">
        <f>SUM(AD17:AD18)</f>
        <v>424736.0</v>
      </c>
      <c r="AE19" s="49">
        <f>SUM(AE17:AE18)</f>
        <v>424736.0</v>
      </c>
      <c r="AF19" s="50">
        <f>SUM(AF17:AF18)</f>
        <v>424736.0</v>
      </c>
    </row>
    <row r="20" spans="1:32" x14ac:dyDescent="0.25">
      <c r="A20" s="9" t="s">
        <v>71</v>
      </c>
      <c r="B20" s="13"/>
      <c r="C20" s="51">
        <f>Inputs!$C$35*$B$7</f>
        <v>1188.95</v>
      </c>
      <c r="D20" s="51">
        <f>Inputs!$C$35*$B$7</f>
        <v>1188.95</v>
      </c>
      <c r="E20" s="51">
        <f>Inputs!$C$35*$B$7</f>
        <v>1188.95</v>
      </c>
      <c r="F20" s="51">
        <f>Inputs!$C$35*$B$7</f>
        <v>1188.95</v>
      </c>
      <c r="G20" s="51">
        <f>Inputs!$C$35*$B$7</f>
        <v>1188.95</v>
      </c>
      <c r="H20" s="51">
        <f>Inputs!$C$35*$B$7</f>
        <v>1188.95</v>
      </c>
      <c r="I20" s="51">
        <f>Inputs!$C$35*$B$7</f>
        <v>1188.95</v>
      </c>
      <c r="J20" s="51">
        <f>Inputs!$C$35*$B$7</f>
        <v>1188.95</v>
      </c>
      <c r="K20" s="51">
        <f>Inputs!$C$35*$B$7</f>
        <v>1188.95</v>
      </c>
      <c r="L20" s="51">
        <f>Inputs!$C$35*$B$7</f>
        <v>1188.95</v>
      </c>
      <c r="M20" s="51">
        <f>Inputs!$C$35*$B$7</f>
        <v>1188.95</v>
      </c>
      <c r="N20" s="51">
        <f>Inputs!$C$35*$B$7</f>
        <v>1188.95</v>
      </c>
      <c r="O20" s="51">
        <f>Inputs!$C$35*$B$7</f>
        <v>1188.95</v>
      </c>
      <c r="P20" s="51">
        <f>Inputs!$C$35*$B$7</f>
        <v>1188.95</v>
      </c>
      <c r="Q20" s="51">
        <f>Inputs!$C$35*$B$7</f>
        <v>1188.95</v>
      </c>
      <c r="R20" s="51">
        <f>Inputs!$C$35*$B$7</f>
        <v>1188.95</v>
      </c>
      <c r="S20" s="51">
        <f>Inputs!$C$35*$B$7</f>
        <v>1188.95</v>
      </c>
      <c r="T20" s="51">
        <f>Inputs!$C$35*$B$7</f>
        <v>1188.95</v>
      </c>
      <c r="U20" s="51">
        <f>Inputs!$C$35*$B$7</f>
        <v>1188.95</v>
      </c>
      <c r="V20" s="51">
        <f>Inputs!$C$35*$B$7</f>
        <v>1188.95</v>
      </c>
      <c r="W20" s="51">
        <f>Inputs!$C$35*$B$7</f>
        <v>1188.95</v>
      </c>
      <c r="X20" s="51">
        <f>Inputs!$C$35*$B$7</f>
        <v>1188.95</v>
      </c>
      <c r="Y20" s="51">
        <f>Inputs!$C$35*$B$7</f>
        <v>1188.95</v>
      </c>
      <c r="Z20" s="51">
        <f>Inputs!$C$35*$B$7</f>
        <v>1188.95</v>
      </c>
      <c r="AA20" s="51">
        <f>Inputs!$C$35*$B$7</f>
        <v>1188.95</v>
      </c>
      <c r="AB20" s="51">
        <f>Inputs!$C$35*$B$7</f>
        <v>1188.95</v>
      </c>
      <c r="AC20" s="51">
        <f>Inputs!$C$35*$B$7</f>
        <v>1188.95</v>
      </c>
      <c r="AD20" s="51">
        <f>Inputs!$C$35*$B$7</f>
        <v>1188.95</v>
      </c>
      <c r="AE20" s="51">
        <f>Inputs!$C$35*$B$7</f>
        <v>1188.95</v>
      </c>
      <c r="AF20" s="52">
        <f>Inputs!$C$35*$B$7</f>
        <v>1188.95</v>
      </c>
    </row>
    <row r="21" spans="1:32" x14ac:dyDescent="0.25">
      <c r="A21" s="9" t="s">
        <v>72</v>
      </c>
      <c r="B21" s="46">
        <f>SUMPRODUCT(C21:AF21,$C$14:$AF$14)</f>
        <v>27170317.6194187</v>
      </c>
      <c r="C21" s="46">
        <f>C20*$B$10</f>
        <v>2046316.0553304</v>
      </c>
      <c r="D21" s="46">
        <f>D20*$B$10</f>
        <v>2046316.0553304</v>
      </c>
      <c r="E21" s="46">
        <f>E20*$B$10</f>
        <v>2046316.0553304</v>
      </c>
      <c r="F21" s="46">
        <f>F20*$B$10</f>
        <v>2046316.0553304</v>
      </c>
      <c r="G21" s="46">
        <f>G20*$B$10</f>
        <v>2046316.0553304</v>
      </c>
      <c r="H21" s="46">
        <f>H20*$B$10</f>
        <v>2046316.0553304</v>
      </c>
      <c r="I21" s="46">
        <f>I20*$B$10</f>
        <v>2046316.0553304</v>
      </c>
      <c r="J21" s="46">
        <f>J20*$B$10</f>
        <v>2046316.0553304</v>
      </c>
      <c r="K21" s="46">
        <f>K20*$B$10</f>
        <v>2046316.0553304</v>
      </c>
      <c r="L21" s="46">
        <f>L20*$B$10</f>
        <v>2046316.0553304</v>
      </c>
      <c r="M21" s="46">
        <f>M20*$B$10</f>
        <v>2046316.0553304</v>
      </c>
      <c r="N21" s="46">
        <f>N20*$B$10</f>
        <v>2046316.0553304</v>
      </c>
      <c r="O21" s="46">
        <f>O20*$B$10</f>
        <v>2046316.0553304</v>
      </c>
      <c r="P21" s="46">
        <f>P20*$B$10</f>
        <v>2046316.0553304</v>
      </c>
      <c r="Q21" s="46">
        <f>Q20*$B$10</f>
        <v>2046316.0553304</v>
      </c>
      <c r="R21" s="46">
        <f>R20*$B$10</f>
        <v>2046316.0553304</v>
      </c>
      <c r="S21" s="46">
        <f>S20*$B$10</f>
        <v>2046316.0553304</v>
      </c>
      <c r="T21" s="46">
        <f>T20*$B$10</f>
        <v>2046316.0553304</v>
      </c>
      <c r="U21" s="46">
        <f>U20*$B$10</f>
        <v>2046316.0553304</v>
      </c>
      <c r="V21" s="46">
        <f>V20*$B$10</f>
        <v>2046316.0553304</v>
      </c>
      <c r="W21" s="46">
        <f>W20*$B$10</f>
        <v>2046316.0553304</v>
      </c>
      <c r="X21" s="46">
        <f>X20*$B$10</f>
        <v>2046316.0553304</v>
      </c>
      <c r="Y21" s="46">
        <f>Y20*$B$10</f>
        <v>2046316.0553304</v>
      </c>
      <c r="Z21" s="46">
        <f>Z20*$B$10</f>
        <v>2046316.0553304</v>
      </c>
      <c r="AA21" s="46">
        <f>AA20*$B$10</f>
        <v>2046316.0553304</v>
      </c>
      <c r="AB21" s="46">
        <f>AB20*$B$10</f>
        <v>2046316.0553304</v>
      </c>
      <c r="AC21" s="46">
        <f>AC20*$B$10</f>
        <v>2046316.0553304</v>
      </c>
      <c r="AD21" s="46">
        <f>AD20*$B$10</f>
        <v>2046316.0553304</v>
      </c>
      <c r="AE21" s="46">
        <f>AE20*$B$10</f>
        <v>2046316.0553304</v>
      </c>
      <c r="AF21" s="47">
        <f>AF20*$B$10</f>
        <v>2046316.0553304</v>
      </c>
    </row>
    <row r="22" spans="1:32" x14ac:dyDescent="0.25">
      <c r="A22" s="48" t="s">
        <v>73</v>
      </c>
      <c r="B22" s="49">
        <f>SUMPRODUCT(C22:AF22,$C$14:$AF$14)</f>
        <v>32809823.7916644</v>
      </c>
      <c r="C22" s="49">
        <f>C19+C21</f>
        <v>2471052.0553304</v>
      </c>
      <c r="D22" s="49">
        <f>D19+D21</f>
        <v>2471052.0553304</v>
      </c>
      <c r="E22" s="49">
        <f>E19+E21</f>
        <v>2471052.0553304</v>
      </c>
      <c r="F22" s="49">
        <f>F19+F21</f>
        <v>2471052.0553304</v>
      </c>
      <c r="G22" s="49">
        <f>G19+G21</f>
        <v>2471052.0553304</v>
      </c>
      <c r="H22" s="49">
        <f>H19+H21</f>
        <v>2471052.0553304</v>
      </c>
      <c r="I22" s="49">
        <f>I19+I21</f>
        <v>2471052.0553304</v>
      </c>
      <c r="J22" s="49">
        <f>J19+J21</f>
        <v>2471052.0553304</v>
      </c>
      <c r="K22" s="49">
        <f>K19+K21</f>
        <v>2471052.0553304</v>
      </c>
      <c r="L22" s="49">
        <f>L19+L21</f>
        <v>2471052.0553304</v>
      </c>
      <c r="M22" s="49">
        <f>M19+M21</f>
        <v>2471052.0553304</v>
      </c>
      <c r="N22" s="49">
        <f>N19+N21</f>
        <v>2471052.0553304</v>
      </c>
      <c r="O22" s="49">
        <f>O19+O21</f>
        <v>2471052.0553304</v>
      </c>
      <c r="P22" s="49">
        <f>P19+P21</f>
        <v>2471052.0553304</v>
      </c>
      <c r="Q22" s="49">
        <f>Q19+Q21</f>
        <v>2471052.0553304</v>
      </c>
      <c r="R22" s="49">
        <f>R19+R21</f>
        <v>2471052.0553304</v>
      </c>
      <c r="S22" s="49">
        <f>S19+S21</f>
        <v>2471052.0553304</v>
      </c>
      <c r="T22" s="49">
        <f>T19+T21</f>
        <v>2471052.0553304</v>
      </c>
      <c r="U22" s="49">
        <f>U19+U21</f>
        <v>2471052.0553304</v>
      </c>
      <c r="V22" s="49">
        <f>V19+V21</f>
        <v>2471052.0553304</v>
      </c>
      <c r="W22" s="49">
        <f>W19+W21</f>
        <v>2471052.0553304</v>
      </c>
      <c r="X22" s="49">
        <f>X19+X21</f>
        <v>2471052.0553304</v>
      </c>
      <c r="Y22" s="49">
        <f>Y19+Y21</f>
        <v>2471052.0553304</v>
      </c>
      <c r="Z22" s="49">
        <f>Z19+Z21</f>
        <v>2471052.0553304</v>
      </c>
      <c r="AA22" s="49">
        <f>AA19+AA21</f>
        <v>2471052.0553304</v>
      </c>
      <c r="AB22" s="49">
        <f>AB19+AB21</f>
        <v>2471052.0553304</v>
      </c>
      <c r="AC22" s="49">
        <f>AC19+AC21</f>
        <v>2471052.0553304</v>
      </c>
      <c r="AD22" s="49">
        <f>AD19+AD21</f>
        <v>2471052.0553304</v>
      </c>
      <c r="AE22" s="49">
        <f>AE19+AE21</f>
        <v>2471052.0553304</v>
      </c>
      <c r="AF22" s="50">
        <f>AF19+AF21</f>
        <v>2471052.0553304</v>
      </c>
    </row>
    <row r="23" spans="1:32" x14ac:dyDescent="0.25">
      <c r="A23" s="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4"/>
    </row>
    <row r="24" spans="1:32" x14ac:dyDescent="0.25">
      <c r="A24" s="16" t="s">
        <v>61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4"/>
    </row>
    <row r="25" spans="1:32" x14ac:dyDescent="0.25">
      <c r="A25" s="9" t="s">
        <v>68</v>
      </c>
      <c r="B25" s="46">
        <f>SUMPRODUCT(C25:AF25,$C$14:$AF$14)</f>
        <v>3115845.21780252</v>
      </c>
      <c r="C25" s="46">
        <f>C17*$B$11</f>
        <v>234668.0</v>
      </c>
      <c r="D25" s="46">
        <f>D17*$B$11</f>
        <v>234668.0</v>
      </c>
      <c r="E25" s="46">
        <f>E17*$B$11</f>
        <v>234668.0</v>
      </c>
      <c r="F25" s="46">
        <f>F17*$B$11</f>
        <v>234668.0</v>
      </c>
      <c r="G25" s="46">
        <f>G17*$B$11</f>
        <v>234668.0</v>
      </c>
      <c r="H25" s="46">
        <f>H17*$B$11</f>
        <v>234668.0</v>
      </c>
      <c r="I25" s="46">
        <f>I17*$B$11</f>
        <v>234668.0</v>
      </c>
      <c r="J25" s="46">
        <f>J17*$B$11</f>
        <v>234668.0</v>
      </c>
      <c r="K25" s="46">
        <f>K17*$B$11</f>
        <v>234668.0</v>
      </c>
      <c r="L25" s="46">
        <f>L17*$B$11</f>
        <v>234668.0</v>
      </c>
      <c r="M25" s="46">
        <f>M17*$B$11</f>
        <v>234668.0</v>
      </c>
      <c r="N25" s="46">
        <f>N17*$B$11</f>
        <v>234668.0</v>
      </c>
      <c r="O25" s="46">
        <f>O17*$B$11</f>
        <v>234668.0</v>
      </c>
      <c r="P25" s="46">
        <f>P17*$B$11</f>
        <v>234668.0</v>
      </c>
      <c r="Q25" s="46">
        <f>Q17*$B$11</f>
        <v>234668.0</v>
      </c>
      <c r="R25" s="46">
        <f>R17*$B$11</f>
        <v>234668.0</v>
      </c>
      <c r="S25" s="46">
        <f>S17*$B$11</f>
        <v>234668.0</v>
      </c>
      <c r="T25" s="46">
        <f>T17*$B$11</f>
        <v>234668.0</v>
      </c>
      <c r="U25" s="46">
        <f>U17*$B$11</f>
        <v>234668.0</v>
      </c>
      <c r="V25" s="46">
        <f>V17*$B$11</f>
        <v>234668.0</v>
      </c>
      <c r="W25" s="46">
        <f>W17*$B$11</f>
        <v>234668.0</v>
      </c>
      <c r="X25" s="46">
        <f>X17*$B$11</f>
        <v>234668.0</v>
      </c>
      <c r="Y25" s="46">
        <f>Y17*$B$11</f>
        <v>234668.0</v>
      </c>
      <c r="Z25" s="46">
        <f>Z17*$B$11</f>
        <v>234668.0</v>
      </c>
      <c r="AA25" s="46">
        <f>AA17*$B$11</f>
        <v>234668.0</v>
      </c>
      <c r="AB25" s="46">
        <f>AB17*$B$11</f>
        <v>234668.0</v>
      </c>
      <c r="AC25" s="46">
        <f>AC17*$B$11</f>
        <v>234668.0</v>
      </c>
      <c r="AD25" s="46">
        <f>AD17*$B$11</f>
        <v>234668.0</v>
      </c>
      <c r="AE25" s="46">
        <f>AE17*$B$11</f>
        <v>234668.0</v>
      </c>
      <c r="AF25" s="47">
        <f>AF17*$B$11</f>
        <v>234668.0</v>
      </c>
    </row>
    <row r="26" spans="1:32" x14ac:dyDescent="0.25">
      <c r="A26" s="9" t="s">
        <v>69</v>
      </c>
      <c r="B26" s="46">
        <f>SUMPRODUCT(C26:AF26,$C$14:$AF$14)</f>
        <v>831809.102769521</v>
      </c>
      <c r="C26" s="46">
        <f>C18*$B$11</f>
        <v>62647.2</v>
      </c>
      <c r="D26" s="46">
        <f>D18*$B$11</f>
        <v>62647.2</v>
      </c>
      <c r="E26" s="46">
        <f>E18*$B$11</f>
        <v>62647.2</v>
      </c>
      <c r="F26" s="46">
        <f>F18*$B$11</f>
        <v>62647.2</v>
      </c>
      <c r="G26" s="46">
        <f>G18*$B$11</f>
        <v>62647.2</v>
      </c>
      <c r="H26" s="46">
        <f>H18*$B$11</f>
        <v>62647.2</v>
      </c>
      <c r="I26" s="46">
        <f>I18*$B$11</f>
        <v>62647.2</v>
      </c>
      <c r="J26" s="46">
        <f>J18*$B$11</f>
        <v>62647.2</v>
      </c>
      <c r="K26" s="46">
        <f>K18*$B$11</f>
        <v>62647.2</v>
      </c>
      <c r="L26" s="46">
        <f>L18*$B$11</f>
        <v>62647.2</v>
      </c>
      <c r="M26" s="46">
        <f>M18*$B$11</f>
        <v>62647.2</v>
      </c>
      <c r="N26" s="46">
        <f>N18*$B$11</f>
        <v>62647.2</v>
      </c>
      <c r="O26" s="46">
        <f>O18*$B$11</f>
        <v>62647.2</v>
      </c>
      <c r="P26" s="46">
        <f>P18*$B$11</f>
        <v>62647.2</v>
      </c>
      <c r="Q26" s="46">
        <f>Q18*$B$11</f>
        <v>62647.2</v>
      </c>
      <c r="R26" s="46">
        <f>R18*$B$11</f>
        <v>62647.2</v>
      </c>
      <c r="S26" s="46">
        <f>S18*$B$11</f>
        <v>62647.2</v>
      </c>
      <c r="T26" s="46">
        <f>T18*$B$11</f>
        <v>62647.2</v>
      </c>
      <c r="U26" s="46">
        <f>U18*$B$11</f>
        <v>62647.2</v>
      </c>
      <c r="V26" s="46">
        <f>V18*$B$11</f>
        <v>62647.2</v>
      </c>
      <c r="W26" s="46">
        <f>W18*$B$11</f>
        <v>62647.2</v>
      </c>
      <c r="X26" s="46">
        <f>X18*$B$11</f>
        <v>62647.2</v>
      </c>
      <c r="Y26" s="46">
        <f>Y18*$B$11</f>
        <v>62647.2</v>
      </c>
      <c r="Z26" s="46">
        <f>Z18*$B$11</f>
        <v>62647.2</v>
      </c>
      <c r="AA26" s="46">
        <f>AA18*$B$11</f>
        <v>62647.2</v>
      </c>
      <c r="AB26" s="46">
        <f>AB18*$B$11</f>
        <v>62647.2</v>
      </c>
      <c r="AC26" s="46">
        <f>AC18*$B$11</f>
        <v>62647.2</v>
      </c>
      <c r="AD26" s="46">
        <f>AD18*$B$11</f>
        <v>62647.2</v>
      </c>
      <c r="AE26" s="46">
        <f>AE18*$B$11</f>
        <v>62647.2</v>
      </c>
      <c r="AF26" s="47">
        <f>AF18*$B$11</f>
        <v>62647.2</v>
      </c>
    </row>
    <row r="27" spans="1:32" x14ac:dyDescent="0.25">
      <c r="A27" s="9" t="s">
        <v>74</v>
      </c>
      <c r="B27" s="46">
        <f>SUMPRODUCT(C27:AF27,$C$14:$AF$14)</f>
        <v>257491.414501989</v>
      </c>
      <c r="C27" s="46">
        <f>IF(C$13-Inputs!$C$4&lt;2,Inputs!$C$25,Inputs!$C$26)*$B$7</f>
        <v>32250.0</v>
      </c>
      <c r="D27" s="46">
        <f>IF(D$13-Inputs!$C$4&lt;2,Inputs!$C$25,Inputs!$C$26)*$B$7</f>
        <v>32250.0</v>
      </c>
      <c r="E27" s="46">
        <f>IF(E$13-Inputs!$C$4&lt;2,Inputs!$C$25,Inputs!$C$26)*$B$7</f>
        <v>17200.0</v>
      </c>
      <c r="F27" s="46">
        <f>IF(F$13-Inputs!$C$4&lt;2,Inputs!$C$25,Inputs!$C$26)*$B$7</f>
        <v>17200.0</v>
      </c>
      <c r="G27" s="46">
        <f>IF(G$13-Inputs!$C$4&lt;2,Inputs!$C$25,Inputs!$C$26)*$B$7</f>
        <v>17200.0</v>
      </c>
      <c r="H27" s="46">
        <f>IF(H$13-Inputs!$C$4&lt;2,Inputs!$C$25,Inputs!$C$26)*$B$7</f>
        <v>17200.0</v>
      </c>
      <c r="I27" s="46">
        <f>IF(I$13-Inputs!$C$4&lt;2,Inputs!$C$25,Inputs!$C$26)*$B$7</f>
        <v>17200.0</v>
      </c>
      <c r="J27" s="46">
        <f>IF(J$13-Inputs!$C$4&lt;2,Inputs!$C$25,Inputs!$C$26)*$B$7</f>
        <v>17200.0</v>
      </c>
      <c r="K27" s="46">
        <f>IF(K$13-Inputs!$C$4&lt;2,Inputs!$C$25,Inputs!$C$26)*$B$7</f>
        <v>17200.0</v>
      </c>
      <c r="L27" s="46">
        <f>IF(L$13-Inputs!$C$4&lt;2,Inputs!$C$25,Inputs!$C$26)*$B$7</f>
        <v>17200.0</v>
      </c>
      <c r="M27" s="46">
        <f>IF(M$13-Inputs!$C$4&lt;2,Inputs!$C$25,Inputs!$C$26)*$B$7</f>
        <v>17200.0</v>
      </c>
      <c r="N27" s="46">
        <f>IF(N$13-Inputs!$C$4&lt;2,Inputs!$C$25,Inputs!$C$26)*$B$7</f>
        <v>17200.0</v>
      </c>
      <c r="O27" s="46">
        <f>IF(O$13-Inputs!$C$4&lt;2,Inputs!$C$25,Inputs!$C$26)*$B$7</f>
        <v>17200.0</v>
      </c>
      <c r="P27" s="46">
        <f>IF(P$13-Inputs!$C$4&lt;2,Inputs!$C$25,Inputs!$C$26)*$B$7</f>
        <v>17200.0</v>
      </c>
      <c r="Q27" s="46">
        <f>IF(Q$13-Inputs!$C$4&lt;2,Inputs!$C$25,Inputs!$C$26)*$B$7</f>
        <v>17200.0</v>
      </c>
      <c r="R27" s="46">
        <f>IF(R$13-Inputs!$C$4&lt;2,Inputs!$C$25,Inputs!$C$26)*$B$7</f>
        <v>17200.0</v>
      </c>
      <c r="S27" s="46">
        <f>IF(S$13-Inputs!$C$4&lt;2,Inputs!$C$25,Inputs!$C$26)*$B$7</f>
        <v>17200.0</v>
      </c>
      <c r="T27" s="46">
        <f>IF(T$13-Inputs!$C$4&lt;2,Inputs!$C$25,Inputs!$C$26)*$B$7</f>
        <v>17200.0</v>
      </c>
      <c r="U27" s="46">
        <f>IF(U$13-Inputs!$C$4&lt;2,Inputs!$C$25,Inputs!$C$26)*$B$7</f>
        <v>17200.0</v>
      </c>
      <c r="V27" s="46">
        <f>IF(V$13-Inputs!$C$4&lt;2,Inputs!$C$25,Inputs!$C$26)*$B$7</f>
        <v>17200.0</v>
      </c>
      <c r="W27" s="46">
        <f>IF(W$13-Inputs!$C$4&lt;2,Inputs!$C$25,Inputs!$C$26)*$B$7</f>
        <v>17200.0</v>
      </c>
      <c r="X27" s="46">
        <f>IF(X$13-Inputs!$C$4&lt;2,Inputs!$C$25,Inputs!$C$26)*$B$7</f>
        <v>17200.0</v>
      </c>
      <c r="Y27" s="46">
        <f>IF(Y$13-Inputs!$C$4&lt;2,Inputs!$C$25,Inputs!$C$26)*$B$7</f>
        <v>17200.0</v>
      </c>
      <c r="Z27" s="46">
        <f>IF(Z$13-Inputs!$C$4&lt;2,Inputs!$C$25,Inputs!$C$26)*$B$7</f>
        <v>17200.0</v>
      </c>
      <c r="AA27" s="46">
        <f>IF(AA$13-Inputs!$C$4&lt;2,Inputs!$C$25,Inputs!$C$26)*$B$7</f>
        <v>17200.0</v>
      </c>
      <c r="AB27" s="46">
        <f>IF(AB$13-Inputs!$C$4&lt;2,Inputs!$C$25,Inputs!$C$26)*$B$7</f>
        <v>17200.0</v>
      </c>
      <c r="AC27" s="46">
        <f>IF(AC$13-Inputs!$C$4&lt;2,Inputs!$C$25,Inputs!$C$26)*$B$7</f>
        <v>17200.0</v>
      </c>
      <c r="AD27" s="46">
        <f>IF(AD$13-Inputs!$C$4&lt;2,Inputs!$C$25,Inputs!$C$26)*$B$7</f>
        <v>17200.0</v>
      </c>
      <c r="AE27" s="46">
        <f>IF(AE$13-Inputs!$C$4&lt;2,Inputs!$C$25,Inputs!$C$26)*$B$7</f>
        <v>17200.0</v>
      </c>
      <c r="AF27" s="47">
        <f>IF(AF$13-Inputs!$C$4&lt;2,Inputs!$C$25,Inputs!$C$26)*$B$7</f>
        <v>17200.0</v>
      </c>
    </row>
    <row r="28" spans="1:32" x14ac:dyDescent="0.25">
      <c r="A28" s="9" t="s">
        <v>75</v>
      </c>
      <c r="B28" s="46">
        <f>SUMPRODUCT(C28:AF28,$C$14:$AF$14)</f>
        <v>182947.706770603</v>
      </c>
      <c r="C28" s="46">
        <f>CHOOSE(MIN(C$13-Inputs!$C$4+1,4),Inputs!$C$28,Inputs!$C$29,Inputs!$C$30,Inputs!$C$31)*$B$7</f>
        <v>58157.5</v>
      </c>
      <c r="D28" s="46">
        <f>CHOOSE(MIN(D$13-Inputs!$C$4+1,4),Inputs!$C$28,Inputs!$C$29,Inputs!$C$30,Inputs!$C$31)*$B$7</f>
        <v>24123.0</v>
      </c>
      <c r="E28" s="46">
        <f>CHOOSE(MIN(E$13-Inputs!$C$4+1,4),Inputs!$C$28,Inputs!$C$29,Inputs!$C$30,Inputs!$C$31)*$B$7</f>
        <v>13975.0</v>
      </c>
      <c r="F28" s="46">
        <f>CHOOSE(MIN(F$13-Inputs!$C$4+1,4),Inputs!$C$28,Inputs!$C$29,Inputs!$C$30,Inputs!$C$31)*$B$7</f>
        <v>8600.0</v>
      </c>
      <c r="G28" s="46">
        <f>CHOOSE(MIN(G$13-Inputs!$C$4+1,4),Inputs!$C$28,Inputs!$C$29,Inputs!$C$30,Inputs!$C$31)*$B$7</f>
        <v>8600.0</v>
      </c>
      <c r="H28" s="46">
        <f>CHOOSE(MIN(H$13-Inputs!$C$4+1,4),Inputs!$C$28,Inputs!$C$29,Inputs!$C$30,Inputs!$C$31)*$B$7</f>
        <v>8600.0</v>
      </c>
      <c r="I28" s="46">
        <f>CHOOSE(MIN(I$13-Inputs!$C$4+1,4),Inputs!$C$28,Inputs!$C$29,Inputs!$C$30,Inputs!$C$31)*$B$7</f>
        <v>8600.0</v>
      </c>
      <c r="J28" s="46">
        <f>CHOOSE(MIN(J$13-Inputs!$C$4+1,4),Inputs!$C$28,Inputs!$C$29,Inputs!$C$30,Inputs!$C$31)*$B$7</f>
        <v>8600.0</v>
      </c>
      <c r="K28" s="46">
        <f>CHOOSE(MIN(K$13-Inputs!$C$4+1,4),Inputs!$C$28,Inputs!$C$29,Inputs!$C$30,Inputs!$C$31)*$B$7</f>
        <v>8600.0</v>
      </c>
      <c r="L28" s="46">
        <f>CHOOSE(MIN(L$13-Inputs!$C$4+1,4),Inputs!$C$28,Inputs!$C$29,Inputs!$C$30,Inputs!$C$31)*$B$7</f>
        <v>8600.0</v>
      </c>
      <c r="M28" s="46">
        <f>CHOOSE(MIN(M$13-Inputs!$C$4+1,4),Inputs!$C$28,Inputs!$C$29,Inputs!$C$30,Inputs!$C$31)*$B$7</f>
        <v>8600.0</v>
      </c>
      <c r="N28" s="46">
        <f>CHOOSE(MIN(N$13-Inputs!$C$4+1,4),Inputs!$C$28,Inputs!$C$29,Inputs!$C$30,Inputs!$C$31)*$B$7</f>
        <v>8600.0</v>
      </c>
      <c r="O28" s="46">
        <f>CHOOSE(MIN(O$13-Inputs!$C$4+1,4),Inputs!$C$28,Inputs!$C$29,Inputs!$C$30,Inputs!$C$31)*$B$7</f>
        <v>8600.0</v>
      </c>
      <c r="P28" s="46">
        <f>CHOOSE(MIN(P$13-Inputs!$C$4+1,4),Inputs!$C$28,Inputs!$C$29,Inputs!$C$30,Inputs!$C$31)*$B$7</f>
        <v>8600.0</v>
      </c>
      <c r="Q28" s="46">
        <f>CHOOSE(MIN(Q$13-Inputs!$C$4+1,4),Inputs!$C$28,Inputs!$C$29,Inputs!$C$30,Inputs!$C$31)*$B$7</f>
        <v>8600.0</v>
      </c>
      <c r="R28" s="46">
        <f>CHOOSE(MIN(R$13-Inputs!$C$4+1,4),Inputs!$C$28,Inputs!$C$29,Inputs!$C$30,Inputs!$C$31)*$B$7</f>
        <v>8600.0</v>
      </c>
      <c r="S28" s="46">
        <f>CHOOSE(MIN(S$13-Inputs!$C$4+1,4),Inputs!$C$28,Inputs!$C$29,Inputs!$C$30,Inputs!$C$31)*$B$7</f>
        <v>8600.0</v>
      </c>
      <c r="T28" s="46">
        <f>CHOOSE(MIN(T$13-Inputs!$C$4+1,4),Inputs!$C$28,Inputs!$C$29,Inputs!$C$30,Inputs!$C$31)*$B$7</f>
        <v>8600.0</v>
      </c>
      <c r="U28" s="46">
        <f>CHOOSE(MIN(U$13-Inputs!$C$4+1,4),Inputs!$C$28,Inputs!$C$29,Inputs!$C$30,Inputs!$C$31)*$B$7</f>
        <v>8600.0</v>
      </c>
      <c r="V28" s="46">
        <f>CHOOSE(MIN(V$13-Inputs!$C$4+1,4),Inputs!$C$28,Inputs!$C$29,Inputs!$C$30,Inputs!$C$31)*$B$7</f>
        <v>8600.0</v>
      </c>
      <c r="W28" s="46">
        <f>CHOOSE(MIN(W$13-Inputs!$C$4+1,4),Inputs!$C$28,Inputs!$C$29,Inputs!$C$30,Inputs!$C$31)*$B$7</f>
        <v>8600.0</v>
      </c>
      <c r="X28" s="46">
        <f>CHOOSE(MIN(X$13-Inputs!$C$4+1,4),Inputs!$C$28,Inputs!$C$29,Inputs!$C$30,Inputs!$C$31)*$B$7</f>
        <v>8600.0</v>
      </c>
      <c r="Y28" s="46">
        <f>CHOOSE(MIN(Y$13-Inputs!$C$4+1,4),Inputs!$C$28,Inputs!$C$29,Inputs!$C$30,Inputs!$C$31)*$B$7</f>
        <v>8600.0</v>
      </c>
      <c r="Z28" s="46">
        <f>CHOOSE(MIN(Z$13-Inputs!$C$4+1,4),Inputs!$C$28,Inputs!$C$29,Inputs!$C$30,Inputs!$C$31)*$B$7</f>
        <v>8600.0</v>
      </c>
      <c r="AA28" s="46">
        <f>CHOOSE(MIN(AA$13-Inputs!$C$4+1,4),Inputs!$C$28,Inputs!$C$29,Inputs!$C$30,Inputs!$C$31)*$B$7</f>
        <v>8600.0</v>
      </c>
      <c r="AB28" s="46">
        <f>CHOOSE(MIN(AB$13-Inputs!$C$4+1,4),Inputs!$C$28,Inputs!$C$29,Inputs!$C$30,Inputs!$C$31)*$B$7</f>
        <v>8600.0</v>
      </c>
      <c r="AC28" s="46">
        <f>CHOOSE(MIN(AC$13-Inputs!$C$4+1,4),Inputs!$C$28,Inputs!$C$29,Inputs!$C$30,Inputs!$C$31)*$B$7</f>
        <v>8600.0</v>
      </c>
      <c r="AD28" s="46">
        <f>CHOOSE(MIN(AD$13-Inputs!$C$4+1,4),Inputs!$C$28,Inputs!$C$29,Inputs!$C$30,Inputs!$C$31)*$B$7</f>
        <v>8600.0</v>
      </c>
      <c r="AE28" s="46">
        <f>CHOOSE(MIN(AE$13-Inputs!$C$4+1,4),Inputs!$C$28,Inputs!$C$29,Inputs!$C$30,Inputs!$C$31)*$B$7</f>
        <v>8600.0</v>
      </c>
      <c r="AF28" s="47">
        <f>CHOOSE(MIN(AF$13-Inputs!$C$4+1,4),Inputs!$C$28,Inputs!$C$29,Inputs!$C$30,Inputs!$C$31)*$B$7</f>
        <v>8600.0</v>
      </c>
    </row>
    <row r="29" spans="1:32" x14ac:dyDescent="0.25">
      <c r="A29" s="48" t="s">
        <v>70</v>
      </c>
      <c r="B29" s="49">
        <f>SUMPRODUCT(C29:AF29,$C$14:$AF$14)</f>
        <v>4388093.44184463</v>
      </c>
      <c r="C29" s="49">
        <f>SUM(C25:C28)</f>
        <v>387722.7</v>
      </c>
      <c r="D29" s="49">
        <f>SUM(D25:D28)</f>
        <v>353688.2</v>
      </c>
      <c r="E29" s="49">
        <f>SUM(E25:E28)</f>
        <v>328490.2</v>
      </c>
      <c r="F29" s="49">
        <f>SUM(F25:F28)</f>
        <v>323115.2</v>
      </c>
      <c r="G29" s="49">
        <f>SUM(G25:G28)</f>
        <v>323115.2</v>
      </c>
      <c r="H29" s="49">
        <f>SUM(H25:H28)</f>
        <v>323115.2</v>
      </c>
      <c r="I29" s="49">
        <f>SUM(I25:I28)</f>
        <v>323115.2</v>
      </c>
      <c r="J29" s="49">
        <f>SUM(J25:J28)</f>
        <v>323115.2</v>
      </c>
      <c r="K29" s="49">
        <f>SUM(K25:K28)</f>
        <v>323115.2</v>
      </c>
      <c r="L29" s="49">
        <f>SUM(L25:L28)</f>
        <v>323115.2</v>
      </c>
      <c r="M29" s="49">
        <f>SUM(M25:M28)</f>
        <v>323115.2</v>
      </c>
      <c r="N29" s="49">
        <f>SUM(N25:N28)</f>
        <v>323115.2</v>
      </c>
      <c r="O29" s="49">
        <f>SUM(O25:O28)</f>
        <v>323115.2</v>
      </c>
      <c r="P29" s="49">
        <f>SUM(P25:P28)</f>
        <v>323115.2</v>
      </c>
      <c r="Q29" s="49">
        <f>SUM(Q25:Q28)</f>
        <v>323115.2</v>
      </c>
      <c r="R29" s="49">
        <f>SUM(R25:R28)</f>
        <v>323115.2</v>
      </c>
      <c r="S29" s="49">
        <f>SUM(S25:S28)</f>
        <v>323115.2</v>
      </c>
      <c r="T29" s="49">
        <f>SUM(T25:T28)</f>
        <v>323115.2</v>
      </c>
      <c r="U29" s="49">
        <f>SUM(U25:U28)</f>
        <v>323115.2</v>
      </c>
      <c r="V29" s="49">
        <f>SUM(V25:V28)</f>
        <v>323115.2</v>
      </c>
      <c r="W29" s="49">
        <f>SUM(W25:W28)</f>
        <v>323115.2</v>
      </c>
      <c r="X29" s="49">
        <f>SUM(X25:X28)</f>
        <v>323115.2</v>
      </c>
      <c r="Y29" s="49">
        <f>SUM(Y25:Y28)</f>
        <v>323115.2</v>
      </c>
      <c r="Z29" s="49">
        <f>SUM(Z25:Z28)</f>
        <v>323115.2</v>
      </c>
      <c r="AA29" s="49">
        <f>SUM(AA25:AA28)</f>
        <v>323115.2</v>
      </c>
      <c r="AB29" s="49">
        <f>SUM(AB25:AB28)</f>
        <v>323115.2</v>
      </c>
      <c r="AC29" s="49">
        <f>SUM(AC25:AC28)</f>
        <v>323115.2</v>
      </c>
      <c r="AD29" s="49">
        <f>SUM(AD25:AD28)</f>
        <v>323115.2</v>
      </c>
      <c r="AE29" s="49">
        <f>SUM(AE25:AE28)</f>
        <v>323115.2</v>
      </c>
      <c r="AF29" s="50">
        <f>SUM(AF25:AF28)</f>
        <v>323115.2</v>
      </c>
    </row>
    <row r="30" spans="1:32" x14ac:dyDescent="0.25">
      <c r="A30" s="9" t="s">
        <v>71</v>
      </c>
      <c r="B30" s="13"/>
      <c r="C30" s="51">
        <f>Inputs!$C$36*$B$7</f>
        <v>999.75</v>
      </c>
      <c r="D30" s="51">
        <f>Inputs!$C$36*$B$7</f>
        <v>999.75</v>
      </c>
      <c r="E30" s="51">
        <f>Inputs!$C$36*$B$7</f>
        <v>999.75</v>
      </c>
      <c r="F30" s="51">
        <f>Inputs!$C$36*$B$7</f>
        <v>999.75</v>
      </c>
      <c r="G30" s="51">
        <f>Inputs!$C$36*$B$7</f>
        <v>999.75</v>
      </c>
      <c r="H30" s="51">
        <f>Inputs!$C$36*$B$7</f>
        <v>999.75</v>
      </c>
      <c r="I30" s="51">
        <f>Inputs!$C$36*$B$7</f>
        <v>999.75</v>
      </c>
      <c r="J30" s="51">
        <f>Inputs!$C$36*$B$7</f>
        <v>999.75</v>
      </c>
      <c r="K30" s="51">
        <f>Inputs!$C$36*$B$7</f>
        <v>999.75</v>
      </c>
      <c r="L30" s="51">
        <f>Inputs!$C$36*$B$7</f>
        <v>999.75</v>
      </c>
      <c r="M30" s="51">
        <f>Inputs!$C$36*$B$7</f>
        <v>999.75</v>
      </c>
      <c r="N30" s="51">
        <f>Inputs!$C$36*$B$7</f>
        <v>999.75</v>
      </c>
      <c r="O30" s="51">
        <f>Inputs!$C$36*$B$7</f>
        <v>999.75</v>
      </c>
      <c r="P30" s="51">
        <f>Inputs!$C$36*$B$7</f>
        <v>999.75</v>
      </c>
      <c r="Q30" s="51">
        <f>Inputs!$C$36*$B$7</f>
        <v>999.75</v>
      </c>
      <c r="R30" s="51">
        <f>Inputs!$C$36*$B$7</f>
        <v>999.75</v>
      </c>
      <c r="S30" s="51">
        <f>Inputs!$C$36*$B$7</f>
        <v>999.75</v>
      </c>
      <c r="T30" s="51">
        <f>Inputs!$C$36*$B$7</f>
        <v>999.75</v>
      </c>
      <c r="U30" s="51">
        <f>Inputs!$C$36*$B$7</f>
        <v>999.75</v>
      </c>
      <c r="V30" s="51">
        <f>Inputs!$C$36*$B$7</f>
        <v>999.75</v>
      </c>
      <c r="W30" s="51">
        <f>Inputs!$C$36*$B$7</f>
        <v>999.75</v>
      </c>
      <c r="X30" s="51">
        <f>Inputs!$C$36*$B$7</f>
        <v>999.75</v>
      </c>
      <c r="Y30" s="51">
        <f>Inputs!$C$36*$B$7</f>
        <v>999.75</v>
      </c>
      <c r="Z30" s="51">
        <f>Inputs!$C$36*$B$7</f>
        <v>999.75</v>
      </c>
      <c r="AA30" s="51">
        <f>Inputs!$C$36*$B$7</f>
        <v>999.75</v>
      </c>
      <c r="AB30" s="51">
        <f>Inputs!$C$36*$B$7</f>
        <v>999.75</v>
      </c>
      <c r="AC30" s="51">
        <f>Inputs!$C$36*$B$7</f>
        <v>999.75</v>
      </c>
      <c r="AD30" s="51">
        <f>Inputs!$C$36*$B$7</f>
        <v>999.75</v>
      </c>
      <c r="AE30" s="51">
        <f>Inputs!$C$36*$B$7</f>
        <v>999.75</v>
      </c>
      <c r="AF30" s="52">
        <f>Inputs!$C$36*$B$7</f>
        <v>999.75</v>
      </c>
    </row>
    <row r="31" spans="1:32" x14ac:dyDescent="0.25">
      <c r="A31" s="9" t="s">
        <v>72</v>
      </c>
      <c r="B31" s="46">
        <f>SUMPRODUCT(C31:AF31,$C$14:$AF$14)</f>
        <v>22846650.439475</v>
      </c>
      <c r="C31" s="46">
        <f>C30*$B$10</f>
        <v>1720681.674012</v>
      </c>
      <c r="D31" s="46">
        <f>D30*$B$10</f>
        <v>1720681.674012</v>
      </c>
      <c r="E31" s="46">
        <f>E30*$B$10</f>
        <v>1720681.674012</v>
      </c>
      <c r="F31" s="46">
        <f>F30*$B$10</f>
        <v>1720681.674012</v>
      </c>
      <c r="G31" s="46">
        <f>G30*$B$10</f>
        <v>1720681.674012</v>
      </c>
      <c r="H31" s="46">
        <f>H30*$B$10</f>
        <v>1720681.674012</v>
      </c>
      <c r="I31" s="46">
        <f>I30*$B$10</f>
        <v>1720681.674012</v>
      </c>
      <c r="J31" s="46">
        <f>J30*$B$10</f>
        <v>1720681.674012</v>
      </c>
      <c r="K31" s="46">
        <f>K30*$B$10</f>
        <v>1720681.674012</v>
      </c>
      <c r="L31" s="46">
        <f>L30*$B$10</f>
        <v>1720681.674012</v>
      </c>
      <c r="M31" s="46">
        <f>M30*$B$10</f>
        <v>1720681.674012</v>
      </c>
      <c r="N31" s="46">
        <f>N30*$B$10</f>
        <v>1720681.674012</v>
      </c>
      <c r="O31" s="46">
        <f>O30*$B$10</f>
        <v>1720681.674012</v>
      </c>
      <c r="P31" s="46">
        <f>P30*$B$10</f>
        <v>1720681.674012</v>
      </c>
      <c r="Q31" s="46">
        <f>Q30*$B$10</f>
        <v>1720681.674012</v>
      </c>
      <c r="R31" s="46">
        <f>R30*$B$10</f>
        <v>1720681.674012</v>
      </c>
      <c r="S31" s="46">
        <f>S30*$B$10</f>
        <v>1720681.674012</v>
      </c>
      <c r="T31" s="46">
        <f>T30*$B$10</f>
        <v>1720681.674012</v>
      </c>
      <c r="U31" s="46">
        <f>U30*$B$10</f>
        <v>1720681.674012</v>
      </c>
      <c r="V31" s="46">
        <f>V30*$B$10</f>
        <v>1720681.674012</v>
      </c>
      <c r="W31" s="46">
        <f>W30*$B$10</f>
        <v>1720681.674012</v>
      </c>
      <c r="X31" s="46">
        <f>X30*$B$10</f>
        <v>1720681.674012</v>
      </c>
      <c r="Y31" s="46">
        <f>Y30*$B$10</f>
        <v>1720681.674012</v>
      </c>
      <c r="Z31" s="46">
        <f>Z30*$B$10</f>
        <v>1720681.674012</v>
      </c>
      <c r="AA31" s="46">
        <f>AA30*$B$10</f>
        <v>1720681.674012</v>
      </c>
      <c r="AB31" s="46">
        <f>AB30*$B$10</f>
        <v>1720681.674012</v>
      </c>
      <c r="AC31" s="46">
        <f>AC30*$B$10</f>
        <v>1720681.674012</v>
      </c>
      <c r="AD31" s="46">
        <f>AD30*$B$10</f>
        <v>1720681.674012</v>
      </c>
      <c r="AE31" s="46">
        <f>AE30*$B$10</f>
        <v>1720681.674012</v>
      </c>
      <c r="AF31" s="47">
        <f>AF30*$B$10</f>
        <v>1720681.674012</v>
      </c>
    </row>
    <row r="32" spans="1:32" x14ac:dyDescent="0.25">
      <c r="A32" s="48" t="s">
        <v>73</v>
      </c>
      <c r="B32" s="49">
        <f>SUMPRODUCT(C32:AF32,$C$14:$AF$14)</f>
        <v>27234743.8813196</v>
      </c>
      <c r="C32" s="49">
        <f>C29+C31</f>
        <v>2108404.374012</v>
      </c>
      <c r="D32" s="49">
        <f>D29+D31</f>
        <v>2074369.874012</v>
      </c>
      <c r="E32" s="49">
        <f>E29+E31</f>
        <v>2049171.874012</v>
      </c>
      <c r="F32" s="49">
        <f>F29+F31</f>
        <v>2043796.874012</v>
      </c>
      <c r="G32" s="49">
        <f>G29+G31</f>
        <v>2043796.874012</v>
      </c>
      <c r="H32" s="49">
        <f>H29+H31</f>
        <v>2043796.874012</v>
      </c>
      <c r="I32" s="49">
        <f>I29+I31</f>
        <v>2043796.874012</v>
      </c>
      <c r="J32" s="49">
        <f>J29+J31</f>
        <v>2043796.874012</v>
      </c>
      <c r="K32" s="49">
        <f>K29+K31</f>
        <v>2043796.874012</v>
      </c>
      <c r="L32" s="49">
        <f>L29+L31</f>
        <v>2043796.874012</v>
      </c>
      <c r="M32" s="49">
        <f>M29+M31</f>
        <v>2043796.874012</v>
      </c>
      <c r="N32" s="49">
        <f>N29+N31</f>
        <v>2043796.874012</v>
      </c>
      <c r="O32" s="49">
        <f>O29+O31</f>
        <v>2043796.874012</v>
      </c>
      <c r="P32" s="49">
        <f>P29+P31</f>
        <v>2043796.874012</v>
      </c>
      <c r="Q32" s="49">
        <f>Q29+Q31</f>
        <v>2043796.874012</v>
      </c>
      <c r="R32" s="49">
        <f>R29+R31</f>
        <v>2043796.874012</v>
      </c>
      <c r="S32" s="49">
        <f>S29+S31</f>
        <v>2043796.874012</v>
      </c>
      <c r="T32" s="49">
        <f>T29+T31</f>
        <v>2043796.874012</v>
      </c>
      <c r="U32" s="49">
        <f>U29+U31</f>
        <v>2043796.874012</v>
      </c>
      <c r="V32" s="49">
        <f>V29+V31</f>
        <v>2043796.874012</v>
      </c>
      <c r="W32" s="49">
        <f>W29+W31</f>
        <v>2043796.874012</v>
      </c>
      <c r="X32" s="49">
        <f>X29+X31</f>
        <v>2043796.874012</v>
      </c>
      <c r="Y32" s="49">
        <f>Y29+Y31</f>
        <v>2043796.874012</v>
      </c>
      <c r="Z32" s="49">
        <f>Z29+Z31</f>
        <v>2043796.874012</v>
      </c>
      <c r="AA32" s="49">
        <f>AA29+AA31</f>
        <v>2043796.874012</v>
      </c>
      <c r="AB32" s="49">
        <f>AB29+AB31</f>
        <v>2043796.874012</v>
      </c>
      <c r="AC32" s="49">
        <f>AC29+AC31</f>
        <v>2043796.874012</v>
      </c>
      <c r="AD32" s="49">
        <f>AD29+AD31</f>
        <v>2043796.874012</v>
      </c>
      <c r="AE32" s="49">
        <f>AE29+AE31</f>
        <v>2043796.874012</v>
      </c>
      <c r="AF32" s="50">
        <f>AF29+AF31</f>
        <v>2043796.874012</v>
      </c>
    </row>
    <row r="33" spans="1:32" x14ac:dyDescent="0.25">
      <c r="A33" s="9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4"/>
    </row>
    <row r="34" spans="1:32" x14ac:dyDescent="0.25">
      <c r="A34" s="16" t="s">
        <v>76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4"/>
    </row>
    <row r="35" spans="1:32" x14ac:dyDescent="0.25">
      <c r="A35" s="9" t="s">
        <v>77</v>
      </c>
      <c r="B35" s="46">
        <f>SUMPRODUCT(C35:AF35,$C$14:$AF$14)</f>
        <v>600300.0</v>
      </c>
      <c r="C35" s="46">
        <f>IF(C$13=Inputs!$C$4,1,0)*Inputs!$C$14*$B$8</f>
        <v>600300.0</v>
      </c>
      <c r="D35" s="46">
        <f>IF(D$13=Inputs!$C$4,1,0)*Inputs!$C$14*$B$8</f>
        <v>0.0</v>
      </c>
      <c r="E35" s="46">
        <f>IF(E$13=Inputs!$C$4,1,0)*Inputs!$C$14*$B$8</f>
        <v>0.0</v>
      </c>
      <c r="F35" s="46">
        <f>IF(F$13=Inputs!$C$4,1,0)*Inputs!$C$14*$B$8</f>
        <v>0.0</v>
      </c>
      <c r="G35" s="46">
        <f>IF(G$13=Inputs!$C$4,1,0)*Inputs!$C$14*$B$8</f>
        <v>0.0</v>
      </c>
      <c r="H35" s="46">
        <f>IF(H$13=Inputs!$C$4,1,0)*Inputs!$C$14*$B$8</f>
        <v>0.0</v>
      </c>
      <c r="I35" s="46">
        <f>IF(I$13=Inputs!$C$4,1,0)*Inputs!$C$14*$B$8</f>
        <v>0.0</v>
      </c>
      <c r="J35" s="46">
        <f>IF(J$13=Inputs!$C$4,1,0)*Inputs!$C$14*$B$8</f>
        <v>0.0</v>
      </c>
      <c r="K35" s="46">
        <f>IF(K$13=Inputs!$C$4,1,0)*Inputs!$C$14*$B$8</f>
        <v>0.0</v>
      </c>
      <c r="L35" s="46">
        <f>IF(L$13=Inputs!$C$4,1,0)*Inputs!$C$14*$B$8</f>
        <v>0.0</v>
      </c>
      <c r="M35" s="46">
        <f>IF(M$13=Inputs!$C$4,1,0)*Inputs!$C$14*$B$8</f>
        <v>0.0</v>
      </c>
      <c r="N35" s="46">
        <f>IF(N$13=Inputs!$C$4,1,0)*Inputs!$C$14*$B$8</f>
        <v>0.0</v>
      </c>
      <c r="O35" s="46">
        <f>IF(O$13=Inputs!$C$4,1,0)*Inputs!$C$14*$B$8</f>
        <v>0.0</v>
      </c>
      <c r="P35" s="46">
        <f>IF(P$13=Inputs!$C$4,1,0)*Inputs!$C$14*$B$8</f>
        <v>0.0</v>
      </c>
      <c r="Q35" s="46">
        <f>IF(Q$13=Inputs!$C$4,1,0)*Inputs!$C$14*$B$8</f>
        <v>0.0</v>
      </c>
      <c r="R35" s="46">
        <f>IF(R$13=Inputs!$C$4,1,0)*Inputs!$C$14*$B$8</f>
        <v>0.0</v>
      </c>
      <c r="S35" s="46">
        <f>IF(S$13=Inputs!$C$4,1,0)*Inputs!$C$14*$B$8</f>
        <v>0.0</v>
      </c>
      <c r="T35" s="46">
        <f>IF(T$13=Inputs!$C$4,1,0)*Inputs!$C$14*$B$8</f>
        <v>0.0</v>
      </c>
      <c r="U35" s="46">
        <f>IF(U$13=Inputs!$C$4,1,0)*Inputs!$C$14*$B$8</f>
        <v>0.0</v>
      </c>
      <c r="V35" s="46">
        <f>IF(V$13=Inputs!$C$4,1,0)*Inputs!$C$14*$B$8</f>
        <v>0.0</v>
      </c>
      <c r="W35" s="46">
        <f>IF(W$13=Inputs!$C$4,1,0)*Inputs!$C$14*$B$8</f>
        <v>0.0</v>
      </c>
      <c r="X35" s="46">
        <f>IF(X$13=Inputs!$C$4,1,0)*Inputs!$C$14*$B$8</f>
        <v>0.0</v>
      </c>
      <c r="Y35" s="46">
        <f>IF(Y$13=Inputs!$C$4,1,0)*Inputs!$C$14*$B$8</f>
        <v>0.0</v>
      </c>
      <c r="Z35" s="46">
        <f>IF(Z$13=Inputs!$C$4,1,0)*Inputs!$C$14*$B$8</f>
        <v>0.0</v>
      </c>
      <c r="AA35" s="46">
        <f>IF(AA$13=Inputs!$C$4,1,0)*Inputs!$C$14*$B$8</f>
        <v>0.0</v>
      </c>
      <c r="AB35" s="46">
        <f>IF(AB$13=Inputs!$C$4,1,0)*Inputs!$C$14*$B$8</f>
        <v>0.0</v>
      </c>
      <c r="AC35" s="46">
        <f>IF(AC$13=Inputs!$C$4,1,0)*Inputs!$C$14*$B$8</f>
        <v>0.0</v>
      </c>
      <c r="AD35" s="46">
        <f>IF(AD$13=Inputs!$C$4,1,0)*Inputs!$C$14*$B$8</f>
        <v>0.0</v>
      </c>
      <c r="AE35" s="46">
        <f>IF(AE$13=Inputs!$C$4,1,0)*Inputs!$C$14*$B$8</f>
        <v>0.0</v>
      </c>
      <c r="AF35" s="47">
        <f>IF(AF$13=Inputs!$C$4,1,0)*Inputs!$C$14*$B$8</f>
        <v>0.0</v>
      </c>
    </row>
    <row r="36" spans="1:32" x14ac:dyDescent="0.25">
      <c r="A36" s="9" t="s">
        <v>78</v>
      </c>
      <c r="B36" s="46">
        <f>SUMPRODUCT(C36:AF36,$C$14:$AF$14)</f>
        <v>300150.0</v>
      </c>
      <c r="C36" s="46">
        <f>IF(C$13=Inputs!$C$4,1,0)*Inputs!$C$15*$B$8</f>
        <v>300150.0</v>
      </c>
      <c r="D36" s="46">
        <f>IF(D$13=Inputs!$C$4,1,0)*Inputs!$C$15*$B$8</f>
        <v>0.0</v>
      </c>
      <c r="E36" s="46">
        <f>IF(E$13=Inputs!$C$4,1,0)*Inputs!$C$15*$B$8</f>
        <v>0.0</v>
      </c>
      <c r="F36" s="46">
        <f>IF(F$13=Inputs!$C$4,1,0)*Inputs!$C$15*$B$8</f>
        <v>0.0</v>
      </c>
      <c r="G36" s="46">
        <f>IF(G$13=Inputs!$C$4,1,0)*Inputs!$C$15*$B$8</f>
        <v>0.0</v>
      </c>
      <c r="H36" s="46">
        <f>IF(H$13=Inputs!$C$4,1,0)*Inputs!$C$15*$B$8</f>
        <v>0.0</v>
      </c>
      <c r="I36" s="46">
        <f>IF(I$13=Inputs!$C$4,1,0)*Inputs!$C$15*$B$8</f>
        <v>0.0</v>
      </c>
      <c r="J36" s="46">
        <f>IF(J$13=Inputs!$C$4,1,0)*Inputs!$C$15*$B$8</f>
        <v>0.0</v>
      </c>
      <c r="K36" s="46">
        <f>IF(K$13=Inputs!$C$4,1,0)*Inputs!$C$15*$B$8</f>
        <v>0.0</v>
      </c>
      <c r="L36" s="46">
        <f>IF(L$13=Inputs!$C$4,1,0)*Inputs!$C$15*$B$8</f>
        <v>0.0</v>
      </c>
      <c r="M36" s="46">
        <f>IF(M$13=Inputs!$C$4,1,0)*Inputs!$C$15*$B$8</f>
        <v>0.0</v>
      </c>
      <c r="N36" s="46">
        <f>IF(N$13=Inputs!$C$4,1,0)*Inputs!$C$15*$B$8</f>
        <v>0.0</v>
      </c>
      <c r="O36" s="46">
        <f>IF(O$13=Inputs!$C$4,1,0)*Inputs!$C$15*$B$8</f>
        <v>0.0</v>
      </c>
      <c r="P36" s="46">
        <f>IF(P$13=Inputs!$C$4,1,0)*Inputs!$C$15*$B$8</f>
        <v>0.0</v>
      </c>
      <c r="Q36" s="46">
        <f>IF(Q$13=Inputs!$C$4,1,0)*Inputs!$C$15*$B$8</f>
        <v>0.0</v>
      </c>
      <c r="R36" s="46">
        <f>IF(R$13=Inputs!$C$4,1,0)*Inputs!$C$15*$B$8</f>
        <v>0.0</v>
      </c>
      <c r="S36" s="46">
        <f>IF(S$13=Inputs!$C$4,1,0)*Inputs!$C$15*$B$8</f>
        <v>0.0</v>
      </c>
      <c r="T36" s="46">
        <f>IF(T$13=Inputs!$C$4,1,0)*Inputs!$C$15*$B$8</f>
        <v>0.0</v>
      </c>
      <c r="U36" s="46">
        <f>IF(U$13=Inputs!$C$4,1,0)*Inputs!$C$15*$B$8</f>
        <v>0.0</v>
      </c>
      <c r="V36" s="46">
        <f>IF(V$13=Inputs!$C$4,1,0)*Inputs!$C$15*$B$8</f>
        <v>0.0</v>
      </c>
      <c r="W36" s="46">
        <f>IF(W$13=Inputs!$C$4,1,0)*Inputs!$C$15*$B$8</f>
        <v>0.0</v>
      </c>
      <c r="X36" s="46">
        <f>IF(X$13=Inputs!$C$4,1,0)*Inputs!$C$15*$B$8</f>
        <v>0.0</v>
      </c>
      <c r="Y36" s="46">
        <f>IF(Y$13=Inputs!$C$4,1,0)*Inputs!$C$15*$B$8</f>
        <v>0.0</v>
      </c>
      <c r="Z36" s="46">
        <f>IF(Z$13=Inputs!$C$4,1,0)*Inputs!$C$15*$B$8</f>
        <v>0.0</v>
      </c>
      <c r="AA36" s="46">
        <f>IF(AA$13=Inputs!$C$4,1,0)*Inputs!$C$15*$B$8</f>
        <v>0.0</v>
      </c>
      <c r="AB36" s="46">
        <f>IF(AB$13=Inputs!$C$4,1,0)*Inputs!$C$15*$B$8</f>
        <v>0.0</v>
      </c>
      <c r="AC36" s="46">
        <f>IF(AC$13=Inputs!$C$4,1,0)*Inputs!$C$15*$B$8</f>
        <v>0.0</v>
      </c>
      <c r="AD36" s="46">
        <f>IF(AD$13=Inputs!$C$4,1,0)*Inputs!$C$15*$B$8</f>
        <v>0.0</v>
      </c>
      <c r="AE36" s="46">
        <f>IF(AE$13=Inputs!$C$4,1,0)*Inputs!$C$15*$B$8</f>
        <v>0.0</v>
      </c>
      <c r="AF36" s="47">
        <f>IF(AF$13=Inputs!$C$4,1,0)*Inputs!$C$15*$B$8</f>
        <v>0.0</v>
      </c>
    </row>
    <row r="37" spans="1:32" x14ac:dyDescent="0.25">
      <c r="A37" s="9" t="s">
        <v>79</v>
      </c>
      <c r="B37" s="46">
        <f>SUMPRODUCT(C37:AF37,$C$14:$AF$14)</f>
        <v>250125.0</v>
      </c>
      <c r="C37" s="46">
        <f>IF(C$13=Inputs!$C$4,1,0)*Inputs!$C$16*$B$8</f>
        <v>250125.0</v>
      </c>
      <c r="D37" s="46">
        <f>IF(D$13=Inputs!$C$4,1,0)*Inputs!$C$16*$B$8</f>
        <v>0.0</v>
      </c>
      <c r="E37" s="46">
        <f>IF(E$13=Inputs!$C$4,1,0)*Inputs!$C$16*$B$8</f>
        <v>0.0</v>
      </c>
      <c r="F37" s="46">
        <f>IF(F$13=Inputs!$C$4,1,0)*Inputs!$C$16*$B$8</f>
        <v>0.0</v>
      </c>
      <c r="G37" s="46">
        <f>IF(G$13=Inputs!$C$4,1,0)*Inputs!$C$16*$B$8</f>
        <v>0.0</v>
      </c>
      <c r="H37" s="46">
        <f>IF(H$13=Inputs!$C$4,1,0)*Inputs!$C$16*$B$8</f>
        <v>0.0</v>
      </c>
      <c r="I37" s="46">
        <f>IF(I$13=Inputs!$C$4,1,0)*Inputs!$C$16*$B$8</f>
        <v>0.0</v>
      </c>
      <c r="J37" s="46">
        <f>IF(J$13=Inputs!$C$4,1,0)*Inputs!$C$16*$B$8</f>
        <v>0.0</v>
      </c>
      <c r="K37" s="46">
        <f>IF(K$13=Inputs!$C$4,1,0)*Inputs!$C$16*$B$8</f>
        <v>0.0</v>
      </c>
      <c r="L37" s="46">
        <f>IF(L$13=Inputs!$C$4,1,0)*Inputs!$C$16*$B$8</f>
        <v>0.0</v>
      </c>
      <c r="M37" s="46">
        <f>IF(M$13=Inputs!$C$4,1,0)*Inputs!$C$16*$B$8</f>
        <v>0.0</v>
      </c>
      <c r="N37" s="46">
        <f>IF(N$13=Inputs!$C$4,1,0)*Inputs!$C$16*$B$8</f>
        <v>0.0</v>
      </c>
      <c r="O37" s="46">
        <f>IF(O$13=Inputs!$C$4,1,0)*Inputs!$C$16*$B$8</f>
        <v>0.0</v>
      </c>
      <c r="P37" s="46">
        <f>IF(P$13=Inputs!$C$4,1,0)*Inputs!$C$16*$B$8</f>
        <v>0.0</v>
      </c>
      <c r="Q37" s="46">
        <f>IF(Q$13=Inputs!$C$4,1,0)*Inputs!$C$16*$B$8</f>
        <v>0.0</v>
      </c>
      <c r="R37" s="46">
        <f>IF(R$13=Inputs!$C$4,1,0)*Inputs!$C$16*$B$8</f>
        <v>0.0</v>
      </c>
      <c r="S37" s="46">
        <f>IF(S$13=Inputs!$C$4,1,0)*Inputs!$C$16*$B$8</f>
        <v>0.0</v>
      </c>
      <c r="T37" s="46">
        <f>IF(T$13=Inputs!$C$4,1,0)*Inputs!$C$16*$B$8</f>
        <v>0.0</v>
      </c>
      <c r="U37" s="46">
        <f>IF(U$13=Inputs!$C$4,1,0)*Inputs!$C$16*$B$8</f>
        <v>0.0</v>
      </c>
      <c r="V37" s="46">
        <f>IF(V$13=Inputs!$C$4,1,0)*Inputs!$C$16*$B$8</f>
        <v>0.0</v>
      </c>
      <c r="W37" s="46">
        <f>IF(W$13=Inputs!$C$4,1,0)*Inputs!$C$16*$B$8</f>
        <v>0.0</v>
      </c>
      <c r="X37" s="46">
        <f>IF(X$13=Inputs!$C$4,1,0)*Inputs!$C$16*$B$8</f>
        <v>0.0</v>
      </c>
      <c r="Y37" s="46">
        <f>IF(Y$13=Inputs!$C$4,1,0)*Inputs!$C$16*$B$8</f>
        <v>0.0</v>
      </c>
      <c r="Z37" s="46">
        <f>IF(Z$13=Inputs!$C$4,1,0)*Inputs!$C$16*$B$8</f>
        <v>0.0</v>
      </c>
      <c r="AA37" s="46">
        <f>IF(AA$13=Inputs!$C$4,1,0)*Inputs!$C$16*$B$8</f>
        <v>0.0</v>
      </c>
      <c r="AB37" s="46">
        <f>IF(AB$13=Inputs!$C$4,1,0)*Inputs!$C$16*$B$8</f>
        <v>0.0</v>
      </c>
      <c r="AC37" s="46">
        <f>IF(AC$13=Inputs!$C$4,1,0)*Inputs!$C$16*$B$8</f>
        <v>0.0</v>
      </c>
      <c r="AD37" s="46">
        <f>IF(AD$13=Inputs!$C$4,1,0)*Inputs!$C$16*$B$8</f>
        <v>0.0</v>
      </c>
      <c r="AE37" s="46">
        <f>IF(AE$13=Inputs!$C$4,1,0)*Inputs!$C$16*$B$8</f>
        <v>0.0</v>
      </c>
      <c r="AF37" s="47">
        <f>IF(AF$13=Inputs!$C$4,1,0)*Inputs!$C$16*$B$8</f>
        <v>0.0</v>
      </c>
    </row>
    <row r="38" spans="1:32" x14ac:dyDescent="0.25">
      <c r="A38" s="9" t="s">
        <v>68</v>
      </c>
      <c r="B38" s="46">
        <f>SUMPRODUCT(C38:AF38,$C$14:$AF$14)</f>
        <v>3115845.21780252</v>
      </c>
      <c r="C38" s="46">
        <f>C17*Inputs!$C$23/100</f>
        <v>234668.0</v>
      </c>
      <c r="D38" s="46">
        <f>D17*Inputs!$C$23/100</f>
        <v>234668.0</v>
      </c>
      <c r="E38" s="46">
        <f>E17*Inputs!$C$23/100</f>
        <v>234668.0</v>
      </c>
      <c r="F38" s="46">
        <f>F17*Inputs!$C$23/100</f>
        <v>234668.0</v>
      </c>
      <c r="G38" s="46">
        <f>G17*Inputs!$C$23/100</f>
        <v>234668.0</v>
      </c>
      <c r="H38" s="46">
        <f>H17*Inputs!$C$23/100</f>
        <v>234668.0</v>
      </c>
      <c r="I38" s="46">
        <f>I17*Inputs!$C$23/100</f>
        <v>234668.0</v>
      </c>
      <c r="J38" s="46">
        <f>J17*Inputs!$C$23/100</f>
        <v>234668.0</v>
      </c>
      <c r="K38" s="46">
        <f>K17*Inputs!$C$23/100</f>
        <v>234668.0</v>
      </c>
      <c r="L38" s="46">
        <f>L17*Inputs!$C$23/100</f>
        <v>234668.0</v>
      </c>
      <c r="M38" s="46">
        <f>M17*Inputs!$C$23/100</f>
        <v>234668.0</v>
      </c>
      <c r="N38" s="46">
        <f>N17*Inputs!$C$23/100</f>
        <v>234668.0</v>
      </c>
      <c r="O38" s="46">
        <f>O17*Inputs!$C$23/100</f>
        <v>234668.0</v>
      </c>
      <c r="P38" s="46">
        <f>P17*Inputs!$C$23/100</f>
        <v>234668.0</v>
      </c>
      <c r="Q38" s="46">
        <f>Q17*Inputs!$C$23/100</f>
        <v>234668.0</v>
      </c>
      <c r="R38" s="46">
        <f>R17*Inputs!$C$23/100</f>
        <v>234668.0</v>
      </c>
      <c r="S38" s="46">
        <f>S17*Inputs!$C$23/100</f>
        <v>234668.0</v>
      </c>
      <c r="T38" s="46">
        <f>T17*Inputs!$C$23/100</f>
        <v>234668.0</v>
      </c>
      <c r="U38" s="46">
        <f>U17*Inputs!$C$23/100</f>
        <v>234668.0</v>
      </c>
      <c r="V38" s="46">
        <f>V17*Inputs!$C$23/100</f>
        <v>234668.0</v>
      </c>
      <c r="W38" s="46">
        <f>W17*Inputs!$C$23/100</f>
        <v>234668.0</v>
      </c>
      <c r="X38" s="46">
        <f>X17*Inputs!$C$23/100</f>
        <v>234668.0</v>
      </c>
      <c r="Y38" s="46">
        <f>Y17*Inputs!$C$23/100</f>
        <v>234668.0</v>
      </c>
      <c r="Z38" s="46">
        <f>Z17*Inputs!$C$23/100</f>
        <v>234668.0</v>
      </c>
      <c r="AA38" s="46">
        <f>AA17*Inputs!$C$23/100</f>
        <v>234668.0</v>
      </c>
      <c r="AB38" s="46">
        <f>AB17*Inputs!$C$23/100</f>
        <v>234668.0</v>
      </c>
      <c r="AC38" s="46">
        <f>AC17*Inputs!$C$23/100</f>
        <v>234668.0</v>
      </c>
      <c r="AD38" s="46">
        <f>AD17*Inputs!$C$23/100</f>
        <v>234668.0</v>
      </c>
      <c r="AE38" s="46">
        <f>AE17*Inputs!$C$23/100</f>
        <v>234668.0</v>
      </c>
      <c r="AF38" s="47">
        <f>AF17*Inputs!$C$23/100</f>
        <v>234668.0</v>
      </c>
    </row>
    <row r="39" spans="1:32" x14ac:dyDescent="0.25">
      <c r="A39" s="9" t="s">
        <v>69</v>
      </c>
      <c r="B39" s="46">
        <f>SUMPRODUCT(C39:AF39,$C$14:$AF$14)</f>
        <v>831809.102769521</v>
      </c>
      <c r="C39" s="46">
        <f>C18*Inputs!$C$23/100</f>
        <v>62647.2</v>
      </c>
      <c r="D39" s="46">
        <f>D18*Inputs!$C$23/100</f>
        <v>62647.2</v>
      </c>
      <c r="E39" s="46">
        <f>E18*Inputs!$C$23/100</f>
        <v>62647.2</v>
      </c>
      <c r="F39" s="46">
        <f>F18*Inputs!$C$23/100</f>
        <v>62647.2</v>
      </c>
      <c r="G39" s="46">
        <f>G18*Inputs!$C$23/100</f>
        <v>62647.2</v>
      </c>
      <c r="H39" s="46">
        <f>H18*Inputs!$C$23/100</f>
        <v>62647.2</v>
      </c>
      <c r="I39" s="46">
        <f>I18*Inputs!$C$23/100</f>
        <v>62647.2</v>
      </c>
      <c r="J39" s="46">
        <f>J18*Inputs!$C$23/100</f>
        <v>62647.2</v>
      </c>
      <c r="K39" s="46">
        <f>K18*Inputs!$C$23/100</f>
        <v>62647.2</v>
      </c>
      <c r="L39" s="46">
        <f>L18*Inputs!$C$23/100</f>
        <v>62647.2</v>
      </c>
      <c r="M39" s="46">
        <f>M18*Inputs!$C$23/100</f>
        <v>62647.2</v>
      </c>
      <c r="N39" s="46">
        <f>N18*Inputs!$C$23/100</f>
        <v>62647.2</v>
      </c>
      <c r="O39" s="46">
        <f>O18*Inputs!$C$23/100</f>
        <v>62647.2</v>
      </c>
      <c r="P39" s="46">
        <f>P18*Inputs!$C$23/100</f>
        <v>62647.2</v>
      </c>
      <c r="Q39" s="46">
        <f>Q18*Inputs!$C$23/100</f>
        <v>62647.2</v>
      </c>
      <c r="R39" s="46">
        <f>R18*Inputs!$C$23/100</f>
        <v>62647.2</v>
      </c>
      <c r="S39" s="46">
        <f>S18*Inputs!$C$23/100</f>
        <v>62647.2</v>
      </c>
      <c r="T39" s="46">
        <f>T18*Inputs!$C$23/100</f>
        <v>62647.2</v>
      </c>
      <c r="U39" s="46">
        <f>U18*Inputs!$C$23/100</f>
        <v>62647.2</v>
      </c>
      <c r="V39" s="46">
        <f>V18*Inputs!$C$23/100</f>
        <v>62647.2</v>
      </c>
      <c r="W39" s="46">
        <f>W18*Inputs!$C$23/100</f>
        <v>62647.2</v>
      </c>
      <c r="X39" s="46">
        <f>X18*Inputs!$C$23/100</f>
        <v>62647.2</v>
      </c>
      <c r="Y39" s="46">
        <f>Y18*Inputs!$C$23/100</f>
        <v>62647.2</v>
      </c>
      <c r="Z39" s="46">
        <f>Z18*Inputs!$C$23/100</f>
        <v>62647.2</v>
      </c>
      <c r="AA39" s="46">
        <f>AA18*Inputs!$C$23/100</f>
        <v>62647.2</v>
      </c>
      <c r="AB39" s="46">
        <f>AB18*Inputs!$C$23/100</f>
        <v>62647.2</v>
      </c>
      <c r="AC39" s="46">
        <f>AC18*Inputs!$C$23/100</f>
        <v>62647.2</v>
      </c>
      <c r="AD39" s="46">
        <f>AD18*Inputs!$C$23/100</f>
        <v>62647.2</v>
      </c>
      <c r="AE39" s="46">
        <f>AE18*Inputs!$C$23/100</f>
        <v>62647.2</v>
      </c>
      <c r="AF39" s="47">
        <f>AF18*Inputs!$C$23/100</f>
        <v>62647.2</v>
      </c>
    </row>
    <row r="40" spans="1:32" x14ac:dyDescent="0.25">
      <c r="A40" s="9" t="s">
        <v>74</v>
      </c>
      <c r="B40" s="46">
        <f>SUMPRODUCT(C40:AF40,$C$14:$AF$14)</f>
        <v>257491.414501989</v>
      </c>
      <c r="C40" s="46">
        <f>IF(C$13-Inputs!$C$4&lt;2,Inputs!$C$25,Inputs!$C$26)*$B$7</f>
        <v>32250.0</v>
      </c>
      <c r="D40" s="46">
        <f>IF(D$13-Inputs!$C$4&lt;2,Inputs!$C$25,Inputs!$C$26)*$B$7</f>
        <v>32250.0</v>
      </c>
      <c r="E40" s="46">
        <f>IF(E$13-Inputs!$C$4&lt;2,Inputs!$C$25,Inputs!$C$26)*$B$7</f>
        <v>17200.0</v>
      </c>
      <c r="F40" s="46">
        <f>IF(F$13-Inputs!$C$4&lt;2,Inputs!$C$25,Inputs!$C$26)*$B$7</f>
        <v>17200.0</v>
      </c>
      <c r="G40" s="46">
        <f>IF(G$13-Inputs!$C$4&lt;2,Inputs!$C$25,Inputs!$C$26)*$B$7</f>
        <v>17200.0</v>
      </c>
      <c r="H40" s="46">
        <f>IF(H$13-Inputs!$C$4&lt;2,Inputs!$C$25,Inputs!$C$26)*$B$7</f>
        <v>17200.0</v>
      </c>
      <c r="I40" s="46">
        <f>IF(I$13-Inputs!$C$4&lt;2,Inputs!$C$25,Inputs!$C$26)*$B$7</f>
        <v>17200.0</v>
      </c>
      <c r="J40" s="46">
        <f>IF(J$13-Inputs!$C$4&lt;2,Inputs!$C$25,Inputs!$C$26)*$B$7</f>
        <v>17200.0</v>
      </c>
      <c r="K40" s="46">
        <f>IF(K$13-Inputs!$C$4&lt;2,Inputs!$C$25,Inputs!$C$26)*$B$7</f>
        <v>17200.0</v>
      </c>
      <c r="L40" s="46">
        <f>IF(L$13-Inputs!$C$4&lt;2,Inputs!$C$25,Inputs!$C$26)*$B$7</f>
        <v>17200.0</v>
      </c>
      <c r="M40" s="46">
        <f>IF(M$13-Inputs!$C$4&lt;2,Inputs!$C$25,Inputs!$C$26)*$B$7</f>
        <v>17200.0</v>
      </c>
      <c r="N40" s="46">
        <f>IF(N$13-Inputs!$C$4&lt;2,Inputs!$C$25,Inputs!$C$26)*$B$7</f>
        <v>17200.0</v>
      </c>
      <c r="O40" s="46">
        <f>IF(O$13-Inputs!$C$4&lt;2,Inputs!$C$25,Inputs!$C$26)*$B$7</f>
        <v>17200.0</v>
      </c>
      <c r="P40" s="46">
        <f>IF(P$13-Inputs!$C$4&lt;2,Inputs!$C$25,Inputs!$C$26)*$B$7</f>
        <v>17200.0</v>
      </c>
      <c r="Q40" s="46">
        <f>IF(Q$13-Inputs!$C$4&lt;2,Inputs!$C$25,Inputs!$C$26)*$B$7</f>
        <v>17200.0</v>
      </c>
      <c r="R40" s="46">
        <f>IF(R$13-Inputs!$C$4&lt;2,Inputs!$C$25,Inputs!$C$26)*$B$7</f>
        <v>17200.0</v>
      </c>
      <c r="S40" s="46">
        <f>IF(S$13-Inputs!$C$4&lt;2,Inputs!$C$25,Inputs!$C$26)*$B$7</f>
        <v>17200.0</v>
      </c>
      <c r="T40" s="46">
        <f>IF(T$13-Inputs!$C$4&lt;2,Inputs!$C$25,Inputs!$C$26)*$B$7</f>
        <v>17200.0</v>
      </c>
      <c r="U40" s="46">
        <f>IF(U$13-Inputs!$C$4&lt;2,Inputs!$C$25,Inputs!$C$26)*$B$7</f>
        <v>17200.0</v>
      </c>
      <c r="V40" s="46">
        <f>IF(V$13-Inputs!$C$4&lt;2,Inputs!$C$25,Inputs!$C$26)*$B$7</f>
        <v>17200.0</v>
      </c>
      <c r="W40" s="46">
        <f>IF(W$13-Inputs!$C$4&lt;2,Inputs!$C$25,Inputs!$C$26)*$B$7</f>
        <v>17200.0</v>
      </c>
      <c r="X40" s="46">
        <f>IF(X$13-Inputs!$C$4&lt;2,Inputs!$C$25,Inputs!$C$26)*$B$7</f>
        <v>17200.0</v>
      </c>
      <c r="Y40" s="46">
        <f>IF(Y$13-Inputs!$C$4&lt;2,Inputs!$C$25,Inputs!$C$26)*$B$7</f>
        <v>17200.0</v>
      </c>
      <c r="Z40" s="46">
        <f>IF(Z$13-Inputs!$C$4&lt;2,Inputs!$C$25,Inputs!$C$26)*$B$7</f>
        <v>17200.0</v>
      </c>
      <c r="AA40" s="46">
        <f>IF(AA$13-Inputs!$C$4&lt;2,Inputs!$C$25,Inputs!$C$26)*$B$7</f>
        <v>17200.0</v>
      </c>
      <c r="AB40" s="46">
        <f>IF(AB$13-Inputs!$C$4&lt;2,Inputs!$C$25,Inputs!$C$26)*$B$7</f>
        <v>17200.0</v>
      </c>
      <c r="AC40" s="46">
        <f>IF(AC$13-Inputs!$C$4&lt;2,Inputs!$C$25,Inputs!$C$26)*$B$7</f>
        <v>17200.0</v>
      </c>
      <c r="AD40" s="46">
        <f>IF(AD$13-Inputs!$C$4&lt;2,Inputs!$C$25,Inputs!$C$26)*$B$7</f>
        <v>17200.0</v>
      </c>
      <c r="AE40" s="46">
        <f>IF(AE$13-Inputs!$C$4&lt;2,Inputs!$C$25,Inputs!$C$26)*$B$7</f>
        <v>17200.0</v>
      </c>
      <c r="AF40" s="47">
        <f>IF(AF$13-Inputs!$C$4&lt;2,Inputs!$C$25,Inputs!$C$26)*$B$7</f>
        <v>17200.0</v>
      </c>
    </row>
    <row r="41" spans="1:32" x14ac:dyDescent="0.25">
      <c r="A41" s="9" t="s">
        <v>75</v>
      </c>
      <c r="B41" s="46">
        <f>SUMPRODUCT(C41:AF41,$C$14:$AF$14)</f>
        <v>182947.706770603</v>
      </c>
      <c r="C41" s="46">
        <f>CHOOSE(MIN(C$13-Inputs!$C$4+1,4),Inputs!$C$28,Inputs!$C$29,Inputs!$C$30,Inputs!$C$31)*$B$7</f>
        <v>58157.5</v>
      </c>
      <c r="D41" s="46">
        <f>CHOOSE(MIN(D$13-Inputs!$C$4+1,4),Inputs!$C$28,Inputs!$C$29,Inputs!$C$30,Inputs!$C$31)*$B$7</f>
        <v>24123.0</v>
      </c>
      <c r="E41" s="46">
        <f>CHOOSE(MIN(E$13-Inputs!$C$4+1,4),Inputs!$C$28,Inputs!$C$29,Inputs!$C$30,Inputs!$C$31)*$B$7</f>
        <v>13975.0</v>
      </c>
      <c r="F41" s="46">
        <f>CHOOSE(MIN(F$13-Inputs!$C$4+1,4),Inputs!$C$28,Inputs!$C$29,Inputs!$C$30,Inputs!$C$31)*$B$7</f>
        <v>8600.0</v>
      </c>
      <c r="G41" s="46">
        <f>CHOOSE(MIN(G$13-Inputs!$C$4+1,4),Inputs!$C$28,Inputs!$C$29,Inputs!$C$30,Inputs!$C$31)*$B$7</f>
        <v>8600.0</v>
      </c>
      <c r="H41" s="46">
        <f>CHOOSE(MIN(H$13-Inputs!$C$4+1,4),Inputs!$C$28,Inputs!$C$29,Inputs!$C$30,Inputs!$C$31)*$B$7</f>
        <v>8600.0</v>
      </c>
      <c r="I41" s="46">
        <f>CHOOSE(MIN(I$13-Inputs!$C$4+1,4),Inputs!$C$28,Inputs!$C$29,Inputs!$C$30,Inputs!$C$31)*$B$7</f>
        <v>8600.0</v>
      </c>
      <c r="J41" s="46">
        <f>CHOOSE(MIN(J$13-Inputs!$C$4+1,4),Inputs!$C$28,Inputs!$C$29,Inputs!$C$30,Inputs!$C$31)*$B$7</f>
        <v>8600.0</v>
      </c>
      <c r="K41" s="46">
        <f>CHOOSE(MIN(K$13-Inputs!$C$4+1,4),Inputs!$C$28,Inputs!$C$29,Inputs!$C$30,Inputs!$C$31)*$B$7</f>
        <v>8600.0</v>
      </c>
      <c r="L41" s="46">
        <f>CHOOSE(MIN(L$13-Inputs!$C$4+1,4),Inputs!$C$28,Inputs!$C$29,Inputs!$C$30,Inputs!$C$31)*$B$7</f>
        <v>8600.0</v>
      </c>
      <c r="M41" s="46">
        <f>CHOOSE(MIN(M$13-Inputs!$C$4+1,4),Inputs!$C$28,Inputs!$C$29,Inputs!$C$30,Inputs!$C$31)*$B$7</f>
        <v>8600.0</v>
      </c>
      <c r="N41" s="46">
        <f>CHOOSE(MIN(N$13-Inputs!$C$4+1,4),Inputs!$C$28,Inputs!$C$29,Inputs!$C$30,Inputs!$C$31)*$B$7</f>
        <v>8600.0</v>
      </c>
      <c r="O41" s="46">
        <f>CHOOSE(MIN(O$13-Inputs!$C$4+1,4),Inputs!$C$28,Inputs!$C$29,Inputs!$C$30,Inputs!$C$31)*$B$7</f>
        <v>8600.0</v>
      </c>
      <c r="P41" s="46">
        <f>CHOOSE(MIN(P$13-Inputs!$C$4+1,4),Inputs!$C$28,Inputs!$C$29,Inputs!$C$30,Inputs!$C$31)*$B$7</f>
        <v>8600.0</v>
      </c>
      <c r="Q41" s="46">
        <f>CHOOSE(MIN(Q$13-Inputs!$C$4+1,4),Inputs!$C$28,Inputs!$C$29,Inputs!$C$30,Inputs!$C$31)*$B$7</f>
        <v>8600.0</v>
      </c>
      <c r="R41" s="46">
        <f>CHOOSE(MIN(R$13-Inputs!$C$4+1,4),Inputs!$C$28,Inputs!$C$29,Inputs!$C$30,Inputs!$C$31)*$B$7</f>
        <v>8600.0</v>
      </c>
      <c r="S41" s="46">
        <f>CHOOSE(MIN(S$13-Inputs!$C$4+1,4),Inputs!$C$28,Inputs!$C$29,Inputs!$C$30,Inputs!$C$31)*$B$7</f>
        <v>8600.0</v>
      </c>
      <c r="T41" s="46">
        <f>CHOOSE(MIN(T$13-Inputs!$C$4+1,4),Inputs!$C$28,Inputs!$C$29,Inputs!$C$30,Inputs!$C$31)*$B$7</f>
        <v>8600.0</v>
      </c>
      <c r="U41" s="46">
        <f>CHOOSE(MIN(U$13-Inputs!$C$4+1,4),Inputs!$C$28,Inputs!$C$29,Inputs!$C$30,Inputs!$C$31)*$B$7</f>
        <v>8600.0</v>
      </c>
      <c r="V41" s="46">
        <f>CHOOSE(MIN(V$13-Inputs!$C$4+1,4),Inputs!$C$28,Inputs!$C$29,Inputs!$C$30,Inputs!$C$31)*$B$7</f>
        <v>8600.0</v>
      </c>
      <c r="W41" s="46">
        <f>CHOOSE(MIN(W$13-Inputs!$C$4+1,4),Inputs!$C$28,Inputs!$C$29,Inputs!$C$30,Inputs!$C$31)*$B$7</f>
        <v>8600.0</v>
      </c>
      <c r="X41" s="46">
        <f>CHOOSE(MIN(X$13-Inputs!$C$4+1,4),Inputs!$C$28,Inputs!$C$29,Inputs!$C$30,Inputs!$C$31)*$B$7</f>
        <v>8600.0</v>
      </c>
      <c r="Y41" s="46">
        <f>CHOOSE(MIN(Y$13-Inputs!$C$4+1,4),Inputs!$C$28,Inputs!$C$29,Inputs!$C$30,Inputs!$C$31)*$B$7</f>
        <v>8600.0</v>
      </c>
      <c r="Z41" s="46">
        <f>CHOOSE(MIN(Z$13-Inputs!$C$4+1,4),Inputs!$C$28,Inputs!$C$29,Inputs!$C$30,Inputs!$C$31)*$B$7</f>
        <v>8600.0</v>
      </c>
      <c r="AA41" s="46">
        <f>CHOOSE(MIN(AA$13-Inputs!$C$4+1,4),Inputs!$C$28,Inputs!$C$29,Inputs!$C$30,Inputs!$C$31)*$B$7</f>
        <v>8600.0</v>
      </c>
      <c r="AB41" s="46">
        <f>CHOOSE(MIN(AB$13-Inputs!$C$4+1,4),Inputs!$C$28,Inputs!$C$29,Inputs!$C$30,Inputs!$C$31)*$B$7</f>
        <v>8600.0</v>
      </c>
      <c r="AC41" s="46">
        <f>CHOOSE(MIN(AC$13-Inputs!$C$4+1,4),Inputs!$C$28,Inputs!$C$29,Inputs!$C$30,Inputs!$C$31)*$B$7</f>
        <v>8600.0</v>
      </c>
      <c r="AD41" s="46">
        <f>CHOOSE(MIN(AD$13-Inputs!$C$4+1,4),Inputs!$C$28,Inputs!$C$29,Inputs!$C$30,Inputs!$C$31)*$B$7</f>
        <v>8600.0</v>
      </c>
      <c r="AE41" s="46">
        <f>CHOOSE(MIN(AE$13-Inputs!$C$4+1,4),Inputs!$C$28,Inputs!$C$29,Inputs!$C$30,Inputs!$C$31)*$B$7</f>
        <v>8600.0</v>
      </c>
      <c r="AF41" s="47">
        <f>CHOOSE(MIN(AF$13-Inputs!$C$4+1,4),Inputs!$C$28,Inputs!$C$29,Inputs!$C$30,Inputs!$C$31)*$B$7</f>
        <v>8600.0</v>
      </c>
    </row>
    <row r="42" spans="1:32" x14ac:dyDescent="0.25">
      <c r="A42" s="48" t="s">
        <v>70</v>
      </c>
      <c r="B42" s="49">
        <f>SUMPRODUCT(C42:AF42,$C$14:$AF$14)</f>
        <v>5538668.44184463</v>
      </c>
      <c r="C42" s="49">
        <f>SUM(C35:C41)</f>
        <v>1538297.7</v>
      </c>
      <c r="D42" s="49">
        <f>SUM(D35:D41)</f>
        <v>353688.2</v>
      </c>
      <c r="E42" s="49">
        <f>SUM(E35:E41)</f>
        <v>328490.2</v>
      </c>
      <c r="F42" s="49">
        <f>SUM(F35:F41)</f>
        <v>323115.2</v>
      </c>
      <c r="G42" s="49">
        <f>SUM(G35:G41)</f>
        <v>323115.2</v>
      </c>
      <c r="H42" s="49">
        <f>SUM(H35:H41)</f>
        <v>323115.2</v>
      </c>
      <c r="I42" s="49">
        <f>SUM(I35:I41)</f>
        <v>323115.2</v>
      </c>
      <c r="J42" s="49">
        <f>SUM(J35:J41)</f>
        <v>323115.2</v>
      </c>
      <c r="K42" s="49">
        <f>SUM(K35:K41)</f>
        <v>323115.2</v>
      </c>
      <c r="L42" s="49">
        <f>SUM(L35:L41)</f>
        <v>323115.2</v>
      </c>
      <c r="M42" s="49">
        <f>SUM(M35:M41)</f>
        <v>323115.2</v>
      </c>
      <c r="N42" s="49">
        <f>SUM(N35:N41)</f>
        <v>323115.2</v>
      </c>
      <c r="O42" s="49">
        <f>SUM(O35:O41)</f>
        <v>323115.2</v>
      </c>
      <c r="P42" s="49">
        <f>SUM(P35:P41)</f>
        <v>323115.2</v>
      </c>
      <c r="Q42" s="49">
        <f>SUM(Q35:Q41)</f>
        <v>323115.2</v>
      </c>
      <c r="R42" s="49">
        <f>SUM(R35:R41)</f>
        <v>323115.2</v>
      </c>
      <c r="S42" s="49">
        <f>SUM(S35:S41)</f>
        <v>323115.2</v>
      </c>
      <c r="T42" s="49">
        <f>SUM(T35:T41)</f>
        <v>323115.2</v>
      </c>
      <c r="U42" s="49">
        <f>SUM(U35:U41)</f>
        <v>323115.2</v>
      </c>
      <c r="V42" s="49">
        <f>SUM(V35:V41)</f>
        <v>323115.2</v>
      </c>
      <c r="W42" s="49">
        <f>SUM(W35:W41)</f>
        <v>323115.2</v>
      </c>
      <c r="X42" s="49">
        <f>SUM(X35:X41)</f>
        <v>323115.2</v>
      </c>
      <c r="Y42" s="49">
        <f>SUM(Y35:Y41)</f>
        <v>323115.2</v>
      </c>
      <c r="Z42" s="49">
        <f>SUM(Z35:Z41)</f>
        <v>323115.2</v>
      </c>
      <c r="AA42" s="49">
        <f>SUM(AA35:AA41)</f>
        <v>323115.2</v>
      </c>
      <c r="AB42" s="49">
        <f>SUM(AB35:AB41)</f>
        <v>323115.2</v>
      </c>
      <c r="AC42" s="49">
        <f>SUM(AC35:AC41)</f>
        <v>323115.2</v>
      </c>
      <c r="AD42" s="49">
        <f>SUM(AD35:AD41)</f>
        <v>323115.2</v>
      </c>
      <c r="AE42" s="49">
        <f>SUM(AE35:AE41)</f>
        <v>323115.2</v>
      </c>
      <c r="AF42" s="50">
        <f>SUM(AF35:AF41)</f>
        <v>323115.2</v>
      </c>
    </row>
    <row r="43" spans="1:32" x14ac:dyDescent="0.25">
      <c r="A43" s="9" t="s">
        <v>71</v>
      </c>
      <c r="B43" s="13"/>
      <c r="C43" s="51">
        <f>Inputs!$C$37*$B$7</f>
        <v>681.55</v>
      </c>
      <c r="D43" s="51">
        <f>Inputs!$C$37*$B$7</f>
        <v>681.55</v>
      </c>
      <c r="E43" s="51">
        <f>Inputs!$C$37*$B$7</f>
        <v>681.55</v>
      </c>
      <c r="F43" s="51">
        <f>Inputs!$C$37*$B$7</f>
        <v>681.55</v>
      </c>
      <c r="G43" s="51">
        <f>Inputs!$C$37*$B$7</f>
        <v>681.55</v>
      </c>
      <c r="H43" s="51">
        <f>Inputs!$C$37*$B$7</f>
        <v>681.55</v>
      </c>
      <c r="I43" s="51">
        <f>Inputs!$C$37*$B$7</f>
        <v>681.55</v>
      </c>
      <c r="J43" s="51">
        <f>Inputs!$C$37*$B$7</f>
        <v>681.55</v>
      </c>
      <c r="K43" s="51">
        <f>Inputs!$C$37*$B$7</f>
        <v>681.55</v>
      </c>
      <c r="L43" s="51">
        <f>Inputs!$C$37*$B$7</f>
        <v>681.55</v>
      </c>
      <c r="M43" s="51">
        <f>Inputs!$C$37*$B$7</f>
        <v>681.55</v>
      </c>
      <c r="N43" s="51">
        <f>Inputs!$C$37*$B$7</f>
        <v>681.55</v>
      </c>
      <c r="O43" s="51">
        <f>Inputs!$C$37*$B$7</f>
        <v>681.55</v>
      </c>
      <c r="P43" s="51">
        <f>Inputs!$C$37*$B$7</f>
        <v>681.55</v>
      </c>
      <c r="Q43" s="51">
        <f>Inputs!$C$37*$B$7</f>
        <v>681.55</v>
      </c>
      <c r="R43" s="51">
        <f>Inputs!$C$37*$B$7</f>
        <v>681.55</v>
      </c>
      <c r="S43" s="51">
        <f>Inputs!$C$37*$B$7</f>
        <v>681.55</v>
      </c>
      <c r="T43" s="51">
        <f>Inputs!$C$37*$B$7</f>
        <v>681.55</v>
      </c>
      <c r="U43" s="51">
        <f>Inputs!$C$37*$B$7</f>
        <v>681.55</v>
      </c>
      <c r="V43" s="51">
        <f>Inputs!$C$37*$B$7</f>
        <v>681.55</v>
      </c>
      <c r="W43" s="51">
        <f>Inputs!$C$37*$B$7</f>
        <v>681.55</v>
      </c>
      <c r="X43" s="51">
        <f>Inputs!$C$37*$B$7</f>
        <v>681.55</v>
      </c>
      <c r="Y43" s="51">
        <f>Inputs!$C$37*$B$7</f>
        <v>681.55</v>
      </c>
      <c r="Z43" s="51">
        <f>Inputs!$C$37*$B$7</f>
        <v>681.55</v>
      </c>
      <c r="AA43" s="51">
        <f>Inputs!$C$37*$B$7</f>
        <v>681.55</v>
      </c>
      <c r="AB43" s="51">
        <f>Inputs!$C$37*$B$7</f>
        <v>681.55</v>
      </c>
      <c r="AC43" s="51">
        <f>Inputs!$C$37*$B$7</f>
        <v>681.55</v>
      </c>
      <c r="AD43" s="51">
        <f>Inputs!$C$37*$B$7</f>
        <v>681.55</v>
      </c>
      <c r="AE43" s="51">
        <f>Inputs!$C$37*$B$7</f>
        <v>681.55</v>
      </c>
      <c r="AF43" s="52">
        <f>Inputs!$C$37*$B$7</f>
        <v>681.55</v>
      </c>
    </row>
    <row r="44" spans="1:32" x14ac:dyDescent="0.25">
      <c r="A44" s="9" t="s">
        <v>72</v>
      </c>
      <c r="B44" s="46">
        <f>SUMPRODUCT(C44:AF44,$C$14:$AF$14)</f>
        <v>15575028.3641152</v>
      </c>
      <c r="C44" s="46">
        <f>C43*$B$10</f>
        <v>1173023.8508856</v>
      </c>
      <c r="D44" s="46">
        <f>D43*$B$10</f>
        <v>1173023.8508856</v>
      </c>
      <c r="E44" s="46">
        <f>E43*$B$10</f>
        <v>1173023.8508856</v>
      </c>
      <c r="F44" s="46">
        <f>F43*$B$10</f>
        <v>1173023.8508856</v>
      </c>
      <c r="G44" s="46">
        <f>G43*$B$10</f>
        <v>1173023.8508856</v>
      </c>
      <c r="H44" s="46">
        <f>H43*$B$10</f>
        <v>1173023.8508856</v>
      </c>
      <c r="I44" s="46">
        <f>I43*$B$10</f>
        <v>1173023.8508856</v>
      </c>
      <c r="J44" s="46">
        <f>J43*$B$10</f>
        <v>1173023.8508856</v>
      </c>
      <c r="K44" s="46">
        <f>K43*$B$10</f>
        <v>1173023.8508856</v>
      </c>
      <c r="L44" s="46">
        <f>L43*$B$10</f>
        <v>1173023.8508856</v>
      </c>
      <c r="M44" s="46">
        <f>M43*$B$10</f>
        <v>1173023.8508856</v>
      </c>
      <c r="N44" s="46">
        <f>N43*$B$10</f>
        <v>1173023.8508856</v>
      </c>
      <c r="O44" s="46">
        <f>O43*$B$10</f>
        <v>1173023.8508856</v>
      </c>
      <c r="P44" s="46">
        <f>P43*$B$10</f>
        <v>1173023.8508856</v>
      </c>
      <c r="Q44" s="46">
        <f>Q43*$B$10</f>
        <v>1173023.8508856</v>
      </c>
      <c r="R44" s="46">
        <f>R43*$B$10</f>
        <v>1173023.8508856</v>
      </c>
      <c r="S44" s="46">
        <f>S43*$B$10</f>
        <v>1173023.8508856</v>
      </c>
      <c r="T44" s="46">
        <f>T43*$B$10</f>
        <v>1173023.8508856</v>
      </c>
      <c r="U44" s="46">
        <f>U43*$B$10</f>
        <v>1173023.8508856</v>
      </c>
      <c r="V44" s="46">
        <f>V43*$B$10</f>
        <v>1173023.8508856</v>
      </c>
      <c r="W44" s="46">
        <f>W43*$B$10</f>
        <v>1173023.8508856</v>
      </c>
      <c r="X44" s="46">
        <f>X43*$B$10</f>
        <v>1173023.8508856</v>
      </c>
      <c r="Y44" s="46">
        <f>Y43*$B$10</f>
        <v>1173023.8508856</v>
      </c>
      <c r="Z44" s="46">
        <f>Z43*$B$10</f>
        <v>1173023.8508856</v>
      </c>
      <c r="AA44" s="46">
        <f>AA43*$B$10</f>
        <v>1173023.8508856</v>
      </c>
      <c r="AB44" s="46">
        <f>AB43*$B$10</f>
        <v>1173023.8508856</v>
      </c>
      <c r="AC44" s="46">
        <f>AC43*$B$10</f>
        <v>1173023.8508856</v>
      </c>
      <c r="AD44" s="46">
        <f>AD43*$B$10</f>
        <v>1173023.8508856</v>
      </c>
      <c r="AE44" s="46">
        <f>AE43*$B$10</f>
        <v>1173023.8508856</v>
      </c>
      <c r="AF44" s="47">
        <f>AF43*$B$10</f>
        <v>1173023.8508856</v>
      </c>
    </row>
    <row r="45" spans="1:32" x14ac:dyDescent="0.25">
      <c r="A45" s="48" t="s">
        <v>73</v>
      </c>
      <c r="B45" s="49">
        <f>SUMPRODUCT(C45:AF45,$C$14:$AF$14)</f>
        <v>21113696.8059599</v>
      </c>
      <c r="C45" s="49">
        <f>C42+C44</f>
        <v>2711321.5508856</v>
      </c>
      <c r="D45" s="49">
        <f>D42+D44</f>
        <v>1526712.0508856</v>
      </c>
      <c r="E45" s="49">
        <f>E42+E44</f>
        <v>1501514.0508856</v>
      </c>
      <c r="F45" s="49">
        <f>F42+F44</f>
        <v>1496139.0508856</v>
      </c>
      <c r="G45" s="49">
        <f>G42+G44</f>
        <v>1496139.0508856</v>
      </c>
      <c r="H45" s="49">
        <f>H42+H44</f>
        <v>1496139.0508856</v>
      </c>
      <c r="I45" s="49">
        <f>I42+I44</f>
        <v>1496139.0508856</v>
      </c>
      <c r="J45" s="49">
        <f>J42+J44</f>
        <v>1496139.0508856</v>
      </c>
      <c r="K45" s="49">
        <f>K42+K44</f>
        <v>1496139.0508856</v>
      </c>
      <c r="L45" s="49">
        <f>L42+L44</f>
        <v>1496139.0508856</v>
      </c>
      <c r="M45" s="49">
        <f>M42+M44</f>
        <v>1496139.0508856</v>
      </c>
      <c r="N45" s="49">
        <f>N42+N44</f>
        <v>1496139.0508856</v>
      </c>
      <c r="O45" s="49">
        <f>O42+O44</f>
        <v>1496139.0508856</v>
      </c>
      <c r="P45" s="49">
        <f>P42+P44</f>
        <v>1496139.0508856</v>
      </c>
      <c r="Q45" s="49">
        <f>Q42+Q44</f>
        <v>1496139.0508856</v>
      </c>
      <c r="R45" s="49">
        <f>R42+R44</f>
        <v>1496139.0508856</v>
      </c>
      <c r="S45" s="49">
        <f>S42+S44</f>
        <v>1496139.0508856</v>
      </c>
      <c r="T45" s="49">
        <f>T42+T44</f>
        <v>1496139.0508856</v>
      </c>
      <c r="U45" s="49">
        <f>U42+U44</f>
        <v>1496139.0508856</v>
      </c>
      <c r="V45" s="49">
        <f>V42+V44</f>
        <v>1496139.0508856</v>
      </c>
      <c r="W45" s="49">
        <f>W42+W44</f>
        <v>1496139.0508856</v>
      </c>
      <c r="X45" s="49">
        <f>X42+X44</f>
        <v>1496139.0508856</v>
      </c>
      <c r="Y45" s="49">
        <f>Y42+Y44</f>
        <v>1496139.0508856</v>
      </c>
      <c r="Z45" s="49">
        <f>Z42+Z44</f>
        <v>1496139.0508856</v>
      </c>
      <c r="AA45" s="49">
        <f>AA42+AA44</f>
        <v>1496139.0508856</v>
      </c>
      <c r="AB45" s="49">
        <f>AB42+AB44</f>
        <v>1496139.0508856</v>
      </c>
      <c r="AC45" s="49">
        <f>AC42+AC44</f>
        <v>1496139.0508856</v>
      </c>
      <c r="AD45" s="49">
        <f>AD42+AD44</f>
        <v>1496139.0508856</v>
      </c>
      <c r="AE45" s="49">
        <f>AE42+AE44</f>
        <v>1496139.0508856</v>
      </c>
      <c r="AF45" s="50">
        <f>AF42+AF44</f>
        <v>1496139.0508856</v>
      </c>
    </row>
    <row r="46" spans="1:32" x14ac:dyDescent="0.25">
      <c r="A46" s="9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4"/>
    </row>
    <row r="47" spans="1:32" x14ac:dyDescent="0.25">
      <c r="A47" s="16" t="s">
        <v>80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4"/>
    </row>
    <row r="48" spans="1:32" x14ac:dyDescent="0.25">
      <c r="A48" s="9" t="s">
        <v>77</v>
      </c>
      <c r="B48" s="46">
        <f>SUMPRODUCT(C48:AF48,$C$14:$AF$14)</f>
        <v>600300.0</v>
      </c>
      <c r="C48" s="46">
        <f>IF(C$13=Inputs!$C$4,1,0)*Inputs!$C$14*$B$8</f>
        <v>600300.0</v>
      </c>
      <c r="D48" s="46">
        <f>IF(D$13=Inputs!$C$4,1,0)*Inputs!$C$14*$B$8</f>
        <v>0.0</v>
      </c>
      <c r="E48" s="46">
        <f>IF(E$13=Inputs!$C$4,1,0)*Inputs!$C$14*$B$8</f>
        <v>0.0</v>
      </c>
      <c r="F48" s="46">
        <f>IF(F$13=Inputs!$C$4,1,0)*Inputs!$C$14*$B$8</f>
        <v>0.0</v>
      </c>
      <c r="G48" s="46">
        <f>IF(G$13=Inputs!$C$4,1,0)*Inputs!$C$14*$B$8</f>
        <v>0.0</v>
      </c>
      <c r="H48" s="46">
        <f>IF(H$13=Inputs!$C$4,1,0)*Inputs!$C$14*$B$8</f>
        <v>0.0</v>
      </c>
      <c r="I48" s="46">
        <f>IF(I$13=Inputs!$C$4,1,0)*Inputs!$C$14*$B$8</f>
        <v>0.0</v>
      </c>
      <c r="J48" s="46">
        <f>IF(J$13=Inputs!$C$4,1,0)*Inputs!$C$14*$B$8</f>
        <v>0.0</v>
      </c>
      <c r="K48" s="46">
        <f>IF(K$13=Inputs!$C$4,1,0)*Inputs!$C$14*$B$8</f>
        <v>0.0</v>
      </c>
      <c r="L48" s="46">
        <f>IF(L$13=Inputs!$C$4,1,0)*Inputs!$C$14*$B$8</f>
        <v>0.0</v>
      </c>
      <c r="M48" s="46">
        <f>IF(M$13=Inputs!$C$4,1,0)*Inputs!$C$14*$B$8</f>
        <v>0.0</v>
      </c>
      <c r="N48" s="46">
        <f>IF(N$13=Inputs!$C$4,1,0)*Inputs!$C$14*$B$8</f>
        <v>0.0</v>
      </c>
      <c r="O48" s="46">
        <f>IF(O$13=Inputs!$C$4,1,0)*Inputs!$C$14*$B$8</f>
        <v>0.0</v>
      </c>
      <c r="P48" s="46">
        <f>IF(P$13=Inputs!$C$4,1,0)*Inputs!$C$14*$B$8</f>
        <v>0.0</v>
      </c>
      <c r="Q48" s="46">
        <f>IF(Q$13=Inputs!$C$4,1,0)*Inputs!$C$14*$B$8</f>
        <v>0.0</v>
      </c>
      <c r="R48" s="46">
        <f>IF(R$13=Inputs!$C$4,1,0)*Inputs!$C$14*$B$8</f>
        <v>0.0</v>
      </c>
      <c r="S48" s="46">
        <f>IF(S$13=Inputs!$C$4,1,0)*Inputs!$C$14*$B$8</f>
        <v>0.0</v>
      </c>
      <c r="T48" s="46">
        <f>IF(T$13=Inputs!$C$4,1,0)*Inputs!$C$14*$B$8</f>
        <v>0.0</v>
      </c>
      <c r="U48" s="46">
        <f>IF(U$13=Inputs!$C$4,1,0)*Inputs!$C$14*$B$8</f>
        <v>0.0</v>
      </c>
      <c r="V48" s="46">
        <f>IF(V$13=Inputs!$C$4,1,0)*Inputs!$C$14*$B$8</f>
        <v>0.0</v>
      </c>
      <c r="W48" s="46">
        <f>IF(W$13=Inputs!$C$4,1,0)*Inputs!$C$14*$B$8</f>
        <v>0.0</v>
      </c>
      <c r="X48" s="46">
        <f>IF(X$13=Inputs!$C$4,1,0)*Inputs!$C$14*$B$8</f>
        <v>0.0</v>
      </c>
      <c r="Y48" s="46">
        <f>IF(Y$13=Inputs!$C$4,1,0)*Inputs!$C$14*$B$8</f>
        <v>0.0</v>
      </c>
      <c r="Z48" s="46">
        <f>IF(Z$13=Inputs!$C$4,1,0)*Inputs!$C$14*$B$8</f>
        <v>0.0</v>
      </c>
      <c r="AA48" s="46">
        <f>IF(AA$13=Inputs!$C$4,1,0)*Inputs!$C$14*$B$8</f>
        <v>0.0</v>
      </c>
      <c r="AB48" s="46">
        <f>IF(AB$13=Inputs!$C$4,1,0)*Inputs!$C$14*$B$8</f>
        <v>0.0</v>
      </c>
      <c r="AC48" s="46">
        <f>IF(AC$13=Inputs!$C$4,1,0)*Inputs!$C$14*$B$8</f>
        <v>0.0</v>
      </c>
      <c r="AD48" s="46">
        <f>IF(AD$13=Inputs!$C$4,1,0)*Inputs!$C$14*$B$8</f>
        <v>0.0</v>
      </c>
      <c r="AE48" s="46">
        <f>IF(AE$13=Inputs!$C$4,1,0)*Inputs!$C$14*$B$8</f>
        <v>0.0</v>
      </c>
      <c r="AF48" s="47">
        <f>IF(AF$13=Inputs!$C$4,1,0)*Inputs!$C$14*$B$8</f>
        <v>0.0</v>
      </c>
    </row>
    <row r="49" spans="1:32" x14ac:dyDescent="0.25">
      <c r="A49" s="9" t="s">
        <v>78</v>
      </c>
      <c r="B49" s="46">
        <f>SUMPRODUCT(C49:AF49,$C$14:$AF$14)</f>
        <v>300150.0</v>
      </c>
      <c r="C49" s="46">
        <f>IF(C$13=Inputs!$C$4,1,0)*Inputs!$C$15*$B$8</f>
        <v>300150.0</v>
      </c>
      <c r="D49" s="46">
        <f>IF(D$13=Inputs!$C$4,1,0)*Inputs!$C$15*$B$8</f>
        <v>0.0</v>
      </c>
      <c r="E49" s="46">
        <f>IF(E$13=Inputs!$C$4,1,0)*Inputs!$C$15*$B$8</f>
        <v>0.0</v>
      </c>
      <c r="F49" s="46">
        <f>IF(F$13=Inputs!$C$4,1,0)*Inputs!$C$15*$B$8</f>
        <v>0.0</v>
      </c>
      <c r="G49" s="46">
        <f>IF(G$13=Inputs!$C$4,1,0)*Inputs!$C$15*$B$8</f>
        <v>0.0</v>
      </c>
      <c r="H49" s="46">
        <f>IF(H$13=Inputs!$C$4,1,0)*Inputs!$C$15*$B$8</f>
        <v>0.0</v>
      </c>
      <c r="I49" s="46">
        <f>IF(I$13=Inputs!$C$4,1,0)*Inputs!$C$15*$B$8</f>
        <v>0.0</v>
      </c>
      <c r="J49" s="46">
        <f>IF(J$13=Inputs!$C$4,1,0)*Inputs!$C$15*$B$8</f>
        <v>0.0</v>
      </c>
      <c r="K49" s="46">
        <f>IF(K$13=Inputs!$C$4,1,0)*Inputs!$C$15*$B$8</f>
        <v>0.0</v>
      </c>
      <c r="L49" s="46">
        <f>IF(L$13=Inputs!$C$4,1,0)*Inputs!$C$15*$B$8</f>
        <v>0.0</v>
      </c>
      <c r="M49" s="46">
        <f>IF(M$13=Inputs!$C$4,1,0)*Inputs!$C$15*$B$8</f>
        <v>0.0</v>
      </c>
      <c r="N49" s="46">
        <f>IF(N$13=Inputs!$C$4,1,0)*Inputs!$C$15*$B$8</f>
        <v>0.0</v>
      </c>
      <c r="O49" s="46">
        <f>IF(O$13=Inputs!$C$4,1,0)*Inputs!$C$15*$B$8</f>
        <v>0.0</v>
      </c>
      <c r="P49" s="46">
        <f>IF(P$13=Inputs!$C$4,1,0)*Inputs!$C$15*$B$8</f>
        <v>0.0</v>
      </c>
      <c r="Q49" s="46">
        <f>IF(Q$13=Inputs!$C$4,1,0)*Inputs!$C$15*$B$8</f>
        <v>0.0</v>
      </c>
      <c r="R49" s="46">
        <f>IF(R$13=Inputs!$C$4,1,0)*Inputs!$C$15*$B$8</f>
        <v>0.0</v>
      </c>
      <c r="S49" s="46">
        <f>IF(S$13=Inputs!$C$4,1,0)*Inputs!$C$15*$B$8</f>
        <v>0.0</v>
      </c>
      <c r="T49" s="46">
        <f>IF(T$13=Inputs!$C$4,1,0)*Inputs!$C$15*$B$8</f>
        <v>0.0</v>
      </c>
      <c r="U49" s="46">
        <f>IF(U$13=Inputs!$C$4,1,0)*Inputs!$C$15*$B$8</f>
        <v>0.0</v>
      </c>
      <c r="V49" s="46">
        <f>IF(V$13=Inputs!$C$4,1,0)*Inputs!$C$15*$B$8</f>
        <v>0.0</v>
      </c>
      <c r="W49" s="46">
        <f>IF(W$13=Inputs!$C$4,1,0)*Inputs!$C$15*$B$8</f>
        <v>0.0</v>
      </c>
      <c r="X49" s="46">
        <f>IF(X$13=Inputs!$C$4,1,0)*Inputs!$C$15*$B$8</f>
        <v>0.0</v>
      </c>
      <c r="Y49" s="46">
        <f>IF(Y$13=Inputs!$C$4,1,0)*Inputs!$C$15*$B$8</f>
        <v>0.0</v>
      </c>
      <c r="Z49" s="46">
        <f>IF(Z$13=Inputs!$C$4,1,0)*Inputs!$C$15*$B$8</f>
        <v>0.0</v>
      </c>
      <c r="AA49" s="46">
        <f>IF(AA$13=Inputs!$C$4,1,0)*Inputs!$C$15*$B$8</f>
        <v>0.0</v>
      </c>
      <c r="AB49" s="46">
        <f>IF(AB$13=Inputs!$C$4,1,0)*Inputs!$C$15*$B$8</f>
        <v>0.0</v>
      </c>
      <c r="AC49" s="46">
        <f>IF(AC$13=Inputs!$C$4,1,0)*Inputs!$C$15*$B$8</f>
        <v>0.0</v>
      </c>
      <c r="AD49" s="46">
        <f>IF(AD$13=Inputs!$C$4,1,0)*Inputs!$C$15*$B$8</f>
        <v>0.0</v>
      </c>
      <c r="AE49" s="46">
        <f>IF(AE$13=Inputs!$C$4,1,0)*Inputs!$C$15*$B$8</f>
        <v>0.0</v>
      </c>
      <c r="AF49" s="47">
        <f>IF(AF$13=Inputs!$C$4,1,0)*Inputs!$C$15*$B$8</f>
        <v>0.0</v>
      </c>
    </row>
    <row r="50" spans="1:32" x14ac:dyDescent="0.25">
      <c r="A50" s="9" t="s">
        <v>79</v>
      </c>
      <c r="B50" s="46">
        <f>SUMPRODUCT(C50:AF50,$C$14:$AF$14)</f>
        <v>250125.0</v>
      </c>
      <c r="C50" s="46">
        <f>IF(C$13=Inputs!$C$4,1,0)*Inputs!$C$16*$B$8</f>
        <v>250125.0</v>
      </c>
      <c r="D50" s="46">
        <f>IF(D$13=Inputs!$C$4,1,0)*Inputs!$C$16*$B$8</f>
        <v>0.0</v>
      </c>
      <c r="E50" s="46">
        <f>IF(E$13=Inputs!$C$4,1,0)*Inputs!$C$16*$B$8</f>
        <v>0.0</v>
      </c>
      <c r="F50" s="46">
        <f>IF(F$13=Inputs!$C$4,1,0)*Inputs!$C$16*$B$8</f>
        <v>0.0</v>
      </c>
      <c r="G50" s="46">
        <f>IF(G$13=Inputs!$C$4,1,0)*Inputs!$C$16*$B$8</f>
        <v>0.0</v>
      </c>
      <c r="H50" s="46">
        <f>IF(H$13=Inputs!$C$4,1,0)*Inputs!$C$16*$B$8</f>
        <v>0.0</v>
      </c>
      <c r="I50" s="46">
        <f>IF(I$13=Inputs!$C$4,1,0)*Inputs!$C$16*$B$8</f>
        <v>0.0</v>
      </c>
      <c r="J50" s="46">
        <f>IF(J$13=Inputs!$C$4,1,0)*Inputs!$C$16*$B$8</f>
        <v>0.0</v>
      </c>
      <c r="K50" s="46">
        <f>IF(K$13=Inputs!$C$4,1,0)*Inputs!$C$16*$B$8</f>
        <v>0.0</v>
      </c>
      <c r="L50" s="46">
        <f>IF(L$13=Inputs!$C$4,1,0)*Inputs!$C$16*$B$8</f>
        <v>0.0</v>
      </c>
      <c r="M50" s="46">
        <f>IF(M$13=Inputs!$C$4,1,0)*Inputs!$C$16*$B$8</f>
        <v>0.0</v>
      </c>
      <c r="N50" s="46">
        <f>IF(N$13=Inputs!$C$4,1,0)*Inputs!$C$16*$B$8</f>
        <v>0.0</v>
      </c>
      <c r="O50" s="46">
        <f>IF(O$13=Inputs!$C$4,1,0)*Inputs!$C$16*$B$8</f>
        <v>0.0</v>
      </c>
      <c r="P50" s="46">
        <f>IF(P$13=Inputs!$C$4,1,0)*Inputs!$C$16*$B$8</f>
        <v>0.0</v>
      </c>
      <c r="Q50" s="46">
        <f>IF(Q$13=Inputs!$C$4,1,0)*Inputs!$C$16*$B$8</f>
        <v>0.0</v>
      </c>
      <c r="R50" s="46">
        <f>IF(R$13=Inputs!$C$4,1,0)*Inputs!$C$16*$B$8</f>
        <v>0.0</v>
      </c>
      <c r="S50" s="46">
        <f>IF(S$13=Inputs!$C$4,1,0)*Inputs!$C$16*$B$8</f>
        <v>0.0</v>
      </c>
      <c r="T50" s="46">
        <f>IF(T$13=Inputs!$C$4,1,0)*Inputs!$C$16*$B$8</f>
        <v>0.0</v>
      </c>
      <c r="U50" s="46">
        <f>IF(U$13=Inputs!$C$4,1,0)*Inputs!$C$16*$B$8</f>
        <v>0.0</v>
      </c>
      <c r="V50" s="46">
        <f>IF(V$13=Inputs!$C$4,1,0)*Inputs!$C$16*$B$8</f>
        <v>0.0</v>
      </c>
      <c r="W50" s="46">
        <f>IF(W$13=Inputs!$C$4,1,0)*Inputs!$C$16*$B$8</f>
        <v>0.0</v>
      </c>
      <c r="X50" s="46">
        <f>IF(X$13=Inputs!$C$4,1,0)*Inputs!$C$16*$B$8</f>
        <v>0.0</v>
      </c>
      <c r="Y50" s="46">
        <f>IF(Y$13=Inputs!$C$4,1,0)*Inputs!$C$16*$B$8</f>
        <v>0.0</v>
      </c>
      <c r="Z50" s="46">
        <f>IF(Z$13=Inputs!$C$4,1,0)*Inputs!$C$16*$B$8</f>
        <v>0.0</v>
      </c>
      <c r="AA50" s="46">
        <f>IF(AA$13=Inputs!$C$4,1,0)*Inputs!$C$16*$B$8</f>
        <v>0.0</v>
      </c>
      <c r="AB50" s="46">
        <f>IF(AB$13=Inputs!$C$4,1,0)*Inputs!$C$16*$B$8</f>
        <v>0.0</v>
      </c>
      <c r="AC50" s="46">
        <f>IF(AC$13=Inputs!$C$4,1,0)*Inputs!$C$16*$B$8</f>
        <v>0.0</v>
      </c>
      <c r="AD50" s="46">
        <f>IF(AD$13=Inputs!$C$4,1,0)*Inputs!$C$16*$B$8</f>
        <v>0.0</v>
      </c>
      <c r="AE50" s="46">
        <f>IF(AE$13=Inputs!$C$4,1,0)*Inputs!$C$16*$B$8</f>
        <v>0.0</v>
      </c>
      <c r="AF50" s="47">
        <f>IF(AF$13=Inputs!$C$4,1,0)*Inputs!$C$16*$B$8</f>
        <v>0.0</v>
      </c>
    </row>
    <row r="51" spans="1:32" x14ac:dyDescent="0.25">
      <c r="A51" s="9" t="s">
        <v>81</v>
      </c>
      <c r="B51" s="46">
        <f>SUMPRODUCT(C51:AF51,$C$14:$AF$14)</f>
        <v>2365000.0</v>
      </c>
      <c r="C51" s="46">
        <f>IF(C$13=Inputs!$C$4,1,0)*Inputs!$C$17*$B$7</f>
        <v>2365000.0</v>
      </c>
      <c r="D51" s="46">
        <f>IF(D$13=Inputs!$C$4,1,0)*Inputs!$C$17*$B$7</f>
        <v>0.0</v>
      </c>
      <c r="E51" s="46">
        <f>IF(E$13=Inputs!$C$4,1,0)*Inputs!$C$17*$B$7</f>
        <v>0.0</v>
      </c>
      <c r="F51" s="46">
        <f>IF(F$13=Inputs!$C$4,1,0)*Inputs!$C$17*$B$7</f>
        <v>0.0</v>
      </c>
      <c r="G51" s="46">
        <f>IF(G$13=Inputs!$C$4,1,0)*Inputs!$C$17*$B$7</f>
        <v>0.0</v>
      </c>
      <c r="H51" s="46">
        <f>IF(H$13=Inputs!$C$4,1,0)*Inputs!$C$17*$B$7</f>
        <v>0.0</v>
      </c>
      <c r="I51" s="46">
        <f>IF(I$13=Inputs!$C$4,1,0)*Inputs!$C$17*$B$7</f>
        <v>0.0</v>
      </c>
      <c r="J51" s="46">
        <f>IF(J$13=Inputs!$C$4,1,0)*Inputs!$C$17*$B$7</f>
        <v>0.0</v>
      </c>
      <c r="K51" s="46">
        <f>IF(K$13=Inputs!$C$4,1,0)*Inputs!$C$17*$B$7</f>
        <v>0.0</v>
      </c>
      <c r="L51" s="46">
        <f>IF(L$13=Inputs!$C$4,1,0)*Inputs!$C$17*$B$7</f>
        <v>0.0</v>
      </c>
      <c r="M51" s="46">
        <f>IF(M$13=Inputs!$C$4,1,0)*Inputs!$C$17*$B$7</f>
        <v>0.0</v>
      </c>
      <c r="N51" s="46">
        <f>IF(N$13=Inputs!$C$4,1,0)*Inputs!$C$17*$B$7</f>
        <v>0.0</v>
      </c>
      <c r="O51" s="46">
        <f>IF(O$13=Inputs!$C$4,1,0)*Inputs!$C$17*$B$7</f>
        <v>0.0</v>
      </c>
      <c r="P51" s="46">
        <f>IF(P$13=Inputs!$C$4,1,0)*Inputs!$C$17*$B$7</f>
        <v>0.0</v>
      </c>
      <c r="Q51" s="46">
        <f>IF(Q$13=Inputs!$C$4,1,0)*Inputs!$C$17*$B$7</f>
        <v>0.0</v>
      </c>
      <c r="R51" s="46">
        <f>IF(R$13=Inputs!$C$4,1,0)*Inputs!$C$17*$B$7</f>
        <v>0.0</v>
      </c>
      <c r="S51" s="46">
        <f>IF(S$13=Inputs!$C$4,1,0)*Inputs!$C$17*$B$7</f>
        <v>0.0</v>
      </c>
      <c r="T51" s="46">
        <f>IF(T$13=Inputs!$C$4,1,0)*Inputs!$C$17*$B$7</f>
        <v>0.0</v>
      </c>
      <c r="U51" s="46">
        <f>IF(U$13=Inputs!$C$4,1,0)*Inputs!$C$17*$B$7</f>
        <v>0.0</v>
      </c>
      <c r="V51" s="46">
        <f>IF(V$13=Inputs!$C$4,1,0)*Inputs!$C$17*$B$7</f>
        <v>0.0</v>
      </c>
      <c r="W51" s="46">
        <f>IF(W$13=Inputs!$C$4,1,0)*Inputs!$C$17*$B$7</f>
        <v>0.0</v>
      </c>
      <c r="X51" s="46">
        <f>IF(X$13=Inputs!$C$4,1,0)*Inputs!$C$17*$B$7</f>
        <v>0.0</v>
      </c>
      <c r="Y51" s="46">
        <f>IF(Y$13=Inputs!$C$4,1,0)*Inputs!$C$17*$B$7</f>
        <v>0.0</v>
      </c>
      <c r="Z51" s="46">
        <f>IF(Z$13=Inputs!$C$4,1,0)*Inputs!$C$17*$B$7</f>
        <v>0.0</v>
      </c>
      <c r="AA51" s="46">
        <f>IF(AA$13=Inputs!$C$4,1,0)*Inputs!$C$17*$B$7</f>
        <v>0.0</v>
      </c>
      <c r="AB51" s="46">
        <f>IF(AB$13=Inputs!$C$4,1,0)*Inputs!$C$17*$B$7</f>
        <v>0.0</v>
      </c>
      <c r="AC51" s="46">
        <f>IF(AC$13=Inputs!$C$4,1,0)*Inputs!$C$17*$B$7</f>
        <v>0.0</v>
      </c>
      <c r="AD51" s="46">
        <f>IF(AD$13=Inputs!$C$4,1,0)*Inputs!$C$17*$B$7</f>
        <v>0.0</v>
      </c>
      <c r="AE51" s="46">
        <f>IF(AE$13=Inputs!$C$4,1,0)*Inputs!$C$17*$B$7</f>
        <v>0.0</v>
      </c>
      <c r="AF51" s="47">
        <f>IF(AF$13=Inputs!$C$4,1,0)*Inputs!$C$17*$B$7</f>
        <v>0.0</v>
      </c>
    </row>
    <row r="52" spans="1:32" x14ac:dyDescent="0.25">
      <c r="A52" s="9" t="s">
        <v>82</v>
      </c>
      <c r="B52" s="46">
        <f>SUMPRODUCT(C52:AF52,$C$14:$AF$14)</f>
        <v>107500.0</v>
      </c>
      <c r="C52" s="46">
        <f>IF(C$13=Inputs!$C$4,1,0)*Inputs!$C$18*$B$7</f>
        <v>107500.0</v>
      </c>
      <c r="D52" s="46">
        <f>IF(D$13=Inputs!$C$4,1,0)*Inputs!$C$18*$B$7</f>
        <v>0.0</v>
      </c>
      <c r="E52" s="46">
        <f>IF(E$13=Inputs!$C$4,1,0)*Inputs!$C$18*$B$7</f>
        <v>0.0</v>
      </c>
      <c r="F52" s="46">
        <f>IF(F$13=Inputs!$C$4,1,0)*Inputs!$C$18*$B$7</f>
        <v>0.0</v>
      </c>
      <c r="G52" s="46">
        <f>IF(G$13=Inputs!$C$4,1,0)*Inputs!$C$18*$B$7</f>
        <v>0.0</v>
      </c>
      <c r="H52" s="46">
        <f>IF(H$13=Inputs!$C$4,1,0)*Inputs!$C$18*$B$7</f>
        <v>0.0</v>
      </c>
      <c r="I52" s="46">
        <f>IF(I$13=Inputs!$C$4,1,0)*Inputs!$C$18*$B$7</f>
        <v>0.0</v>
      </c>
      <c r="J52" s="46">
        <f>IF(J$13=Inputs!$C$4,1,0)*Inputs!$C$18*$B$7</f>
        <v>0.0</v>
      </c>
      <c r="K52" s="46">
        <f>IF(K$13=Inputs!$C$4,1,0)*Inputs!$C$18*$B$7</f>
        <v>0.0</v>
      </c>
      <c r="L52" s="46">
        <f>IF(L$13=Inputs!$C$4,1,0)*Inputs!$C$18*$B$7</f>
        <v>0.0</v>
      </c>
      <c r="M52" s="46">
        <f>IF(M$13=Inputs!$C$4,1,0)*Inputs!$C$18*$B$7</f>
        <v>0.0</v>
      </c>
      <c r="N52" s="46">
        <f>IF(N$13=Inputs!$C$4,1,0)*Inputs!$C$18*$B$7</f>
        <v>0.0</v>
      </c>
      <c r="O52" s="46">
        <f>IF(O$13=Inputs!$C$4,1,0)*Inputs!$C$18*$B$7</f>
        <v>0.0</v>
      </c>
      <c r="P52" s="46">
        <f>IF(P$13=Inputs!$C$4,1,0)*Inputs!$C$18*$B$7</f>
        <v>0.0</v>
      </c>
      <c r="Q52" s="46">
        <f>IF(Q$13=Inputs!$C$4,1,0)*Inputs!$C$18*$B$7</f>
        <v>0.0</v>
      </c>
      <c r="R52" s="46">
        <f>IF(R$13=Inputs!$C$4,1,0)*Inputs!$C$18*$B$7</f>
        <v>0.0</v>
      </c>
      <c r="S52" s="46">
        <f>IF(S$13=Inputs!$C$4,1,0)*Inputs!$C$18*$B$7</f>
        <v>0.0</v>
      </c>
      <c r="T52" s="46">
        <f>IF(T$13=Inputs!$C$4,1,0)*Inputs!$C$18*$B$7</f>
        <v>0.0</v>
      </c>
      <c r="U52" s="46">
        <f>IF(U$13=Inputs!$C$4,1,0)*Inputs!$C$18*$B$7</f>
        <v>0.0</v>
      </c>
      <c r="V52" s="46">
        <f>IF(V$13=Inputs!$C$4,1,0)*Inputs!$C$18*$B$7</f>
        <v>0.0</v>
      </c>
      <c r="W52" s="46">
        <f>IF(W$13=Inputs!$C$4,1,0)*Inputs!$C$18*$B$7</f>
        <v>0.0</v>
      </c>
      <c r="X52" s="46">
        <f>IF(X$13=Inputs!$C$4,1,0)*Inputs!$C$18*$B$7</f>
        <v>0.0</v>
      </c>
      <c r="Y52" s="46">
        <f>IF(Y$13=Inputs!$C$4,1,0)*Inputs!$C$18*$B$7</f>
        <v>0.0</v>
      </c>
      <c r="Z52" s="46">
        <f>IF(Z$13=Inputs!$C$4,1,0)*Inputs!$C$18*$B$7</f>
        <v>0.0</v>
      </c>
      <c r="AA52" s="46">
        <f>IF(AA$13=Inputs!$C$4,1,0)*Inputs!$C$18*$B$7</f>
        <v>0.0</v>
      </c>
      <c r="AB52" s="46">
        <f>IF(AB$13=Inputs!$C$4,1,0)*Inputs!$C$18*$B$7</f>
        <v>0.0</v>
      </c>
      <c r="AC52" s="46">
        <f>IF(AC$13=Inputs!$C$4,1,0)*Inputs!$C$18*$B$7</f>
        <v>0.0</v>
      </c>
      <c r="AD52" s="46">
        <f>IF(AD$13=Inputs!$C$4,1,0)*Inputs!$C$18*$B$7</f>
        <v>0.0</v>
      </c>
      <c r="AE52" s="46">
        <f>IF(AE$13=Inputs!$C$4,1,0)*Inputs!$C$18*$B$7</f>
        <v>0.0</v>
      </c>
      <c r="AF52" s="47">
        <f>IF(AF$13=Inputs!$C$4,1,0)*Inputs!$C$18*$B$7</f>
        <v>0.0</v>
      </c>
    </row>
    <row r="53" spans="1:32" x14ac:dyDescent="0.25">
      <c r="A53" s="9" t="s">
        <v>83</v>
      </c>
      <c r="B53" s="46">
        <f>SUMPRODUCT(C53:AF53,$C$14:$AF$14)</f>
        <v>335240.0</v>
      </c>
      <c r="C53" s="46">
        <f>IF(C$13=Inputs!$C$4,1,0)*C17</f>
        <v>335240.0</v>
      </c>
      <c r="D53" s="46">
        <f>IF(D$13=Inputs!$C$4,1,0)*D17</f>
        <v>0.0</v>
      </c>
      <c r="E53" s="46">
        <f>IF(E$13=Inputs!$C$4,1,0)*E17</f>
        <v>0.0</v>
      </c>
      <c r="F53" s="46">
        <f>IF(F$13=Inputs!$C$4,1,0)*F17</f>
        <v>0.0</v>
      </c>
      <c r="G53" s="46">
        <f>IF(G$13=Inputs!$C$4,1,0)*G17</f>
        <v>0.0</v>
      </c>
      <c r="H53" s="46">
        <f>IF(H$13=Inputs!$C$4,1,0)*H17</f>
        <v>0.0</v>
      </c>
      <c r="I53" s="46">
        <f>IF(I$13=Inputs!$C$4,1,0)*I17</f>
        <v>0.0</v>
      </c>
      <c r="J53" s="46">
        <f>IF(J$13=Inputs!$C$4,1,0)*J17</f>
        <v>0.0</v>
      </c>
      <c r="K53" s="46">
        <f>IF(K$13=Inputs!$C$4,1,0)*K17</f>
        <v>0.0</v>
      </c>
      <c r="L53" s="46">
        <f>IF(L$13=Inputs!$C$4,1,0)*L17</f>
        <v>0.0</v>
      </c>
      <c r="M53" s="46">
        <f>IF(M$13=Inputs!$C$4,1,0)*M17</f>
        <v>0.0</v>
      </c>
      <c r="N53" s="46">
        <f>IF(N$13=Inputs!$C$4,1,0)*N17</f>
        <v>0.0</v>
      </c>
      <c r="O53" s="46">
        <f>IF(O$13=Inputs!$C$4,1,0)*O17</f>
        <v>0.0</v>
      </c>
      <c r="P53" s="46">
        <f>IF(P$13=Inputs!$C$4,1,0)*P17</f>
        <v>0.0</v>
      </c>
      <c r="Q53" s="46">
        <f>IF(Q$13=Inputs!$C$4,1,0)*Q17</f>
        <v>0.0</v>
      </c>
      <c r="R53" s="46">
        <f>IF(R$13=Inputs!$C$4,1,0)*R17</f>
        <v>0.0</v>
      </c>
      <c r="S53" s="46">
        <f>IF(S$13=Inputs!$C$4,1,0)*S17</f>
        <v>0.0</v>
      </c>
      <c r="T53" s="46">
        <f>IF(T$13=Inputs!$C$4,1,0)*T17</f>
        <v>0.0</v>
      </c>
      <c r="U53" s="46">
        <f>IF(U$13=Inputs!$C$4,1,0)*U17</f>
        <v>0.0</v>
      </c>
      <c r="V53" s="46">
        <f>IF(V$13=Inputs!$C$4,1,0)*V17</f>
        <v>0.0</v>
      </c>
      <c r="W53" s="46">
        <f>IF(W$13=Inputs!$C$4,1,0)*W17</f>
        <v>0.0</v>
      </c>
      <c r="X53" s="46">
        <f>IF(X$13=Inputs!$C$4,1,0)*X17</f>
        <v>0.0</v>
      </c>
      <c r="Y53" s="46">
        <f>IF(Y$13=Inputs!$C$4,1,0)*Y17</f>
        <v>0.0</v>
      </c>
      <c r="Z53" s="46">
        <f>IF(Z$13=Inputs!$C$4,1,0)*Z17</f>
        <v>0.0</v>
      </c>
      <c r="AA53" s="46">
        <f>IF(AA$13=Inputs!$C$4,1,0)*AA17</f>
        <v>0.0</v>
      </c>
      <c r="AB53" s="46">
        <f>IF(AB$13=Inputs!$C$4,1,0)*AB17</f>
        <v>0.0</v>
      </c>
      <c r="AC53" s="46">
        <f>IF(AC$13=Inputs!$C$4,1,0)*AC17</f>
        <v>0.0</v>
      </c>
      <c r="AD53" s="46">
        <f>IF(AD$13=Inputs!$C$4,1,0)*AD17</f>
        <v>0.0</v>
      </c>
      <c r="AE53" s="46">
        <f>IF(AE$13=Inputs!$C$4,1,0)*AE17</f>
        <v>0.0</v>
      </c>
      <c r="AF53" s="47">
        <f>IF(AF$13=Inputs!$C$4,1,0)*AF17</f>
        <v>0.0</v>
      </c>
    </row>
    <row r="54" spans="1:32" x14ac:dyDescent="0.25">
      <c r="A54" s="9" t="s">
        <v>84</v>
      </c>
      <c r="B54" s="46">
        <f>SUMPRODUCT(C54:AF54,$C$14:$AF$14)</f>
        <v>89496.0</v>
      </c>
      <c r="C54" s="46">
        <f>IF(C$13=Inputs!$C$4,1,0)*C18</f>
        <v>89496.0</v>
      </c>
      <c r="D54" s="46">
        <f>IF(D$13=Inputs!$C$4,1,0)*D18</f>
        <v>0.0</v>
      </c>
      <c r="E54" s="46">
        <f>IF(E$13=Inputs!$C$4,1,0)*E18</f>
        <v>0.0</v>
      </c>
      <c r="F54" s="46">
        <f>IF(F$13=Inputs!$C$4,1,0)*F18</f>
        <v>0.0</v>
      </c>
      <c r="G54" s="46">
        <f>IF(G$13=Inputs!$C$4,1,0)*G18</f>
        <v>0.0</v>
      </c>
      <c r="H54" s="46">
        <f>IF(H$13=Inputs!$C$4,1,0)*H18</f>
        <v>0.0</v>
      </c>
      <c r="I54" s="46">
        <f>IF(I$13=Inputs!$C$4,1,0)*I18</f>
        <v>0.0</v>
      </c>
      <c r="J54" s="46">
        <f>IF(J$13=Inputs!$C$4,1,0)*J18</f>
        <v>0.0</v>
      </c>
      <c r="K54" s="46">
        <f>IF(K$13=Inputs!$C$4,1,0)*K18</f>
        <v>0.0</v>
      </c>
      <c r="L54" s="46">
        <f>IF(L$13=Inputs!$C$4,1,0)*L18</f>
        <v>0.0</v>
      </c>
      <c r="M54" s="46">
        <f>IF(M$13=Inputs!$C$4,1,0)*M18</f>
        <v>0.0</v>
      </c>
      <c r="N54" s="46">
        <f>IF(N$13=Inputs!$C$4,1,0)*N18</f>
        <v>0.0</v>
      </c>
      <c r="O54" s="46">
        <f>IF(O$13=Inputs!$C$4,1,0)*O18</f>
        <v>0.0</v>
      </c>
      <c r="P54" s="46">
        <f>IF(P$13=Inputs!$C$4,1,0)*P18</f>
        <v>0.0</v>
      </c>
      <c r="Q54" s="46">
        <f>IF(Q$13=Inputs!$C$4,1,0)*Q18</f>
        <v>0.0</v>
      </c>
      <c r="R54" s="46">
        <f>IF(R$13=Inputs!$C$4,1,0)*R18</f>
        <v>0.0</v>
      </c>
      <c r="S54" s="46">
        <f>IF(S$13=Inputs!$C$4,1,0)*S18</f>
        <v>0.0</v>
      </c>
      <c r="T54" s="46">
        <f>IF(T$13=Inputs!$C$4,1,0)*T18</f>
        <v>0.0</v>
      </c>
      <c r="U54" s="46">
        <f>IF(U$13=Inputs!$C$4,1,0)*U18</f>
        <v>0.0</v>
      </c>
      <c r="V54" s="46">
        <f>IF(V$13=Inputs!$C$4,1,0)*V18</f>
        <v>0.0</v>
      </c>
      <c r="W54" s="46">
        <f>IF(W$13=Inputs!$C$4,1,0)*W18</f>
        <v>0.0</v>
      </c>
      <c r="X54" s="46">
        <f>IF(X$13=Inputs!$C$4,1,0)*X18</f>
        <v>0.0</v>
      </c>
      <c r="Y54" s="46">
        <f>IF(Y$13=Inputs!$C$4,1,0)*Y18</f>
        <v>0.0</v>
      </c>
      <c r="Z54" s="46">
        <f>IF(Z$13=Inputs!$C$4,1,0)*Z18</f>
        <v>0.0</v>
      </c>
      <c r="AA54" s="46">
        <f>IF(AA$13=Inputs!$C$4,1,0)*AA18</f>
        <v>0.0</v>
      </c>
      <c r="AB54" s="46">
        <f>IF(AB$13=Inputs!$C$4,1,0)*AB18</f>
        <v>0.0</v>
      </c>
      <c r="AC54" s="46">
        <f>IF(AC$13=Inputs!$C$4,1,0)*AC18</f>
        <v>0.0</v>
      </c>
      <c r="AD54" s="46">
        <f>IF(AD$13=Inputs!$C$4,1,0)*AD18</f>
        <v>0.0</v>
      </c>
      <c r="AE54" s="46">
        <f>IF(AE$13=Inputs!$C$4,1,0)*AE18</f>
        <v>0.0</v>
      </c>
      <c r="AF54" s="47">
        <f>IF(AF$13=Inputs!$C$4,1,0)*AF18</f>
        <v>0.0</v>
      </c>
    </row>
    <row r="55" spans="1:32" x14ac:dyDescent="0.25">
      <c r="A55" s="9" t="s">
        <v>85</v>
      </c>
      <c r="B55" s="46">
        <f>SUMPRODUCT(C55:AF55,$C$14:$AF$14)</f>
        <v>1451834.95834604</v>
      </c>
      <c r="C55" s="46">
        <f>(1-IF(C$13=Inputs!$C$4,1,0))*Inputs!$C$32*$B$7</f>
        <v>0.0</v>
      </c>
      <c r="D55" s="46">
        <f>(1-IF(D$13=Inputs!$C$4,1,0))*Inputs!$C$32*$B$7</f>
        <v>118250.0</v>
      </c>
      <c r="E55" s="46">
        <f>(1-IF(E$13=Inputs!$C$4,1,0))*Inputs!$C$32*$B$7</f>
        <v>118250.0</v>
      </c>
      <c r="F55" s="46">
        <f>(1-IF(F$13=Inputs!$C$4,1,0))*Inputs!$C$32*$B$7</f>
        <v>118250.0</v>
      </c>
      <c r="G55" s="46">
        <f>(1-IF(G$13=Inputs!$C$4,1,0))*Inputs!$C$32*$B$7</f>
        <v>118250.0</v>
      </c>
      <c r="H55" s="46">
        <f>(1-IF(H$13=Inputs!$C$4,1,0))*Inputs!$C$32*$B$7</f>
        <v>118250.0</v>
      </c>
      <c r="I55" s="46">
        <f>(1-IF(I$13=Inputs!$C$4,1,0))*Inputs!$C$32*$B$7</f>
        <v>118250.0</v>
      </c>
      <c r="J55" s="46">
        <f>(1-IF(J$13=Inputs!$C$4,1,0))*Inputs!$C$32*$B$7</f>
        <v>118250.0</v>
      </c>
      <c r="K55" s="46">
        <f>(1-IF(K$13=Inputs!$C$4,1,0))*Inputs!$C$32*$B$7</f>
        <v>118250.0</v>
      </c>
      <c r="L55" s="46">
        <f>(1-IF(L$13=Inputs!$C$4,1,0))*Inputs!$C$32*$B$7</f>
        <v>118250.0</v>
      </c>
      <c r="M55" s="46">
        <f>(1-IF(M$13=Inputs!$C$4,1,0))*Inputs!$C$32*$B$7</f>
        <v>118250.0</v>
      </c>
      <c r="N55" s="46">
        <f>(1-IF(N$13=Inputs!$C$4,1,0))*Inputs!$C$32*$B$7</f>
        <v>118250.0</v>
      </c>
      <c r="O55" s="46">
        <f>(1-IF(O$13=Inputs!$C$4,1,0))*Inputs!$C$32*$B$7</f>
        <v>118250.0</v>
      </c>
      <c r="P55" s="46">
        <f>(1-IF(P$13=Inputs!$C$4,1,0))*Inputs!$C$32*$B$7</f>
        <v>118250.0</v>
      </c>
      <c r="Q55" s="46">
        <f>(1-IF(Q$13=Inputs!$C$4,1,0))*Inputs!$C$32*$B$7</f>
        <v>118250.0</v>
      </c>
      <c r="R55" s="46">
        <f>(1-IF(R$13=Inputs!$C$4,1,0))*Inputs!$C$32*$B$7</f>
        <v>118250.0</v>
      </c>
      <c r="S55" s="46">
        <f>(1-IF(S$13=Inputs!$C$4,1,0))*Inputs!$C$32*$B$7</f>
        <v>118250.0</v>
      </c>
      <c r="T55" s="46">
        <f>(1-IF(T$13=Inputs!$C$4,1,0))*Inputs!$C$32*$B$7</f>
        <v>118250.0</v>
      </c>
      <c r="U55" s="46">
        <f>(1-IF(U$13=Inputs!$C$4,1,0))*Inputs!$C$32*$B$7</f>
        <v>118250.0</v>
      </c>
      <c r="V55" s="46">
        <f>(1-IF(V$13=Inputs!$C$4,1,0))*Inputs!$C$32*$B$7</f>
        <v>118250.0</v>
      </c>
      <c r="W55" s="46">
        <f>(1-IF(W$13=Inputs!$C$4,1,0))*Inputs!$C$32*$B$7</f>
        <v>118250.0</v>
      </c>
      <c r="X55" s="46">
        <f>(1-IF(X$13=Inputs!$C$4,1,0))*Inputs!$C$32*$B$7</f>
        <v>118250.0</v>
      </c>
      <c r="Y55" s="46">
        <f>(1-IF(Y$13=Inputs!$C$4,1,0))*Inputs!$C$32*$B$7</f>
        <v>118250.0</v>
      </c>
      <c r="Z55" s="46">
        <f>(1-IF(Z$13=Inputs!$C$4,1,0))*Inputs!$C$32*$B$7</f>
        <v>118250.0</v>
      </c>
      <c r="AA55" s="46">
        <f>(1-IF(AA$13=Inputs!$C$4,1,0))*Inputs!$C$32*$B$7</f>
        <v>118250.0</v>
      </c>
      <c r="AB55" s="46">
        <f>(1-IF(AB$13=Inputs!$C$4,1,0))*Inputs!$C$32*$B$7</f>
        <v>118250.0</v>
      </c>
      <c r="AC55" s="46">
        <f>(1-IF(AC$13=Inputs!$C$4,1,0))*Inputs!$C$32*$B$7</f>
        <v>118250.0</v>
      </c>
      <c r="AD55" s="46">
        <f>(1-IF(AD$13=Inputs!$C$4,1,0))*Inputs!$C$32*$B$7</f>
        <v>118250.0</v>
      </c>
      <c r="AE55" s="46">
        <f>(1-IF(AE$13=Inputs!$C$4,1,0))*Inputs!$C$32*$B$7</f>
        <v>118250.0</v>
      </c>
      <c r="AF55" s="47">
        <f>(1-IF(AF$13=Inputs!$C$4,1,0))*Inputs!$C$32*$B$7</f>
        <v>118250.0</v>
      </c>
    </row>
    <row r="56" spans="1:32" x14ac:dyDescent="0.25">
      <c r="A56" s="9" t="s">
        <v>86</v>
      </c>
      <c r="B56" s="46">
        <f>SUMPRODUCT(C56:AF56,$C$14:$AF$14)</f>
        <v>52793.9984853104</v>
      </c>
      <c r="C56" s="46">
        <f>(1-IF(C$13=Inputs!$C$4,1,0))*Inputs!$C$33*$B$7</f>
        <v>0.0</v>
      </c>
      <c r="D56" s="46">
        <f>(1-IF(D$13=Inputs!$C$4,1,0))*Inputs!$C$33*$B$7</f>
        <v>4300.0</v>
      </c>
      <c r="E56" s="46">
        <f>(1-IF(E$13=Inputs!$C$4,1,0))*Inputs!$C$33*$B$7</f>
        <v>4300.0</v>
      </c>
      <c r="F56" s="46">
        <f>(1-IF(F$13=Inputs!$C$4,1,0))*Inputs!$C$33*$B$7</f>
        <v>4300.0</v>
      </c>
      <c r="G56" s="46">
        <f>(1-IF(G$13=Inputs!$C$4,1,0))*Inputs!$C$33*$B$7</f>
        <v>4300.0</v>
      </c>
      <c r="H56" s="46">
        <f>(1-IF(H$13=Inputs!$C$4,1,0))*Inputs!$C$33*$B$7</f>
        <v>4300.0</v>
      </c>
      <c r="I56" s="46">
        <f>(1-IF(I$13=Inputs!$C$4,1,0))*Inputs!$C$33*$B$7</f>
        <v>4300.0</v>
      </c>
      <c r="J56" s="46">
        <f>(1-IF(J$13=Inputs!$C$4,1,0))*Inputs!$C$33*$B$7</f>
        <v>4300.0</v>
      </c>
      <c r="K56" s="46">
        <f>(1-IF(K$13=Inputs!$C$4,1,0))*Inputs!$C$33*$B$7</f>
        <v>4300.0</v>
      </c>
      <c r="L56" s="46">
        <f>(1-IF(L$13=Inputs!$C$4,1,0))*Inputs!$C$33*$B$7</f>
        <v>4300.0</v>
      </c>
      <c r="M56" s="46">
        <f>(1-IF(M$13=Inputs!$C$4,1,0))*Inputs!$C$33*$B$7</f>
        <v>4300.0</v>
      </c>
      <c r="N56" s="46">
        <f>(1-IF(N$13=Inputs!$C$4,1,0))*Inputs!$C$33*$B$7</f>
        <v>4300.0</v>
      </c>
      <c r="O56" s="46">
        <f>(1-IF(O$13=Inputs!$C$4,1,0))*Inputs!$C$33*$B$7</f>
        <v>4300.0</v>
      </c>
      <c r="P56" s="46">
        <f>(1-IF(P$13=Inputs!$C$4,1,0))*Inputs!$C$33*$B$7</f>
        <v>4300.0</v>
      </c>
      <c r="Q56" s="46">
        <f>(1-IF(Q$13=Inputs!$C$4,1,0))*Inputs!$C$33*$B$7</f>
        <v>4300.0</v>
      </c>
      <c r="R56" s="46">
        <f>(1-IF(R$13=Inputs!$C$4,1,0))*Inputs!$C$33*$B$7</f>
        <v>4300.0</v>
      </c>
      <c r="S56" s="46">
        <f>(1-IF(S$13=Inputs!$C$4,1,0))*Inputs!$C$33*$B$7</f>
        <v>4300.0</v>
      </c>
      <c r="T56" s="46">
        <f>(1-IF(T$13=Inputs!$C$4,1,0))*Inputs!$C$33*$B$7</f>
        <v>4300.0</v>
      </c>
      <c r="U56" s="46">
        <f>(1-IF(U$13=Inputs!$C$4,1,0))*Inputs!$C$33*$B$7</f>
        <v>4300.0</v>
      </c>
      <c r="V56" s="46">
        <f>(1-IF(V$13=Inputs!$C$4,1,0))*Inputs!$C$33*$B$7</f>
        <v>4300.0</v>
      </c>
      <c r="W56" s="46">
        <f>(1-IF(W$13=Inputs!$C$4,1,0))*Inputs!$C$33*$B$7</f>
        <v>4300.0</v>
      </c>
      <c r="X56" s="46">
        <f>(1-IF(X$13=Inputs!$C$4,1,0))*Inputs!$C$33*$B$7</f>
        <v>4300.0</v>
      </c>
      <c r="Y56" s="46">
        <f>(1-IF(Y$13=Inputs!$C$4,1,0))*Inputs!$C$33*$B$7</f>
        <v>4300.0</v>
      </c>
      <c r="Z56" s="46">
        <f>(1-IF(Z$13=Inputs!$C$4,1,0))*Inputs!$C$33*$B$7</f>
        <v>4300.0</v>
      </c>
      <c r="AA56" s="46">
        <f>(1-IF(AA$13=Inputs!$C$4,1,0))*Inputs!$C$33*$B$7</f>
        <v>4300.0</v>
      </c>
      <c r="AB56" s="46">
        <f>(1-IF(AB$13=Inputs!$C$4,1,0))*Inputs!$C$33*$B$7</f>
        <v>4300.0</v>
      </c>
      <c r="AC56" s="46">
        <f>(1-IF(AC$13=Inputs!$C$4,1,0))*Inputs!$C$33*$B$7</f>
        <v>4300.0</v>
      </c>
      <c r="AD56" s="46">
        <f>(1-IF(AD$13=Inputs!$C$4,1,0))*Inputs!$C$33*$B$7</f>
        <v>4300.0</v>
      </c>
      <c r="AE56" s="46">
        <f>(1-IF(AE$13=Inputs!$C$4,1,0))*Inputs!$C$33*$B$7</f>
        <v>4300.0</v>
      </c>
      <c r="AF56" s="47">
        <f>(1-IF(AF$13=Inputs!$C$4,1,0))*Inputs!$C$33*$B$7</f>
        <v>4300.0</v>
      </c>
    </row>
    <row r="57" spans="1:32" x14ac:dyDescent="0.25">
      <c r="A57" s="9" t="s">
        <v>74</v>
      </c>
      <c r="B57" s="46">
        <f>SUMPRODUCT(C57:AF57,$C$14:$AF$14)</f>
        <v>257491.414501989</v>
      </c>
      <c r="C57" s="46">
        <f>IF(C$13-Inputs!$C$4&lt;2,Inputs!$C$25,Inputs!$C$26)*$B$7</f>
        <v>32250.0</v>
      </c>
      <c r="D57" s="46">
        <f>IF(D$13-Inputs!$C$4&lt;2,Inputs!$C$25,Inputs!$C$26)*$B$7</f>
        <v>32250.0</v>
      </c>
      <c r="E57" s="46">
        <f>IF(E$13-Inputs!$C$4&lt;2,Inputs!$C$25,Inputs!$C$26)*$B$7</f>
        <v>17200.0</v>
      </c>
      <c r="F57" s="46">
        <f>IF(F$13-Inputs!$C$4&lt;2,Inputs!$C$25,Inputs!$C$26)*$B$7</f>
        <v>17200.0</v>
      </c>
      <c r="G57" s="46">
        <f>IF(G$13-Inputs!$C$4&lt;2,Inputs!$C$25,Inputs!$C$26)*$B$7</f>
        <v>17200.0</v>
      </c>
      <c r="H57" s="46">
        <f>IF(H$13-Inputs!$C$4&lt;2,Inputs!$C$25,Inputs!$C$26)*$B$7</f>
        <v>17200.0</v>
      </c>
      <c r="I57" s="46">
        <f>IF(I$13-Inputs!$C$4&lt;2,Inputs!$C$25,Inputs!$C$26)*$B$7</f>
        <v>17200.0</v>
      </c>
      <c r="J57" s="46">
        <f>IF(J$13-Inputs!$C$4&lt;2,Inputs!$C$25,Inputs!$C$26)*$B$7</f>
        <v>17200.0</v>
      </c>
      <c r="K57" s="46">
        <f>IF(K$13-Inputs!$C$4&lt;2,Inputs!$C$25,Inputs!$C$26)*$B$7</f>
        <v>17200.0</v>
      </c>
      <c r="L57" s="46">
        <f>IF(L$13-Inputs!$C$4&lt;2,Inputs!$C$25,Inputs!$C$26)*$B$7</f>
        <v>17200.0</v>
      </c>
      <c r="M57" s="46">
        <f>IF(M$13-Inputs!$C$4&lt;2,Inputs!$C$25,Inputs!$C$26)*$B$7</f>
        <v>17200.0</v>
      </c>
      <c r="N57" s="46">
        <f>IF(N$13-Inputs!$C$4&lt;2,Inputs!$C$25,Inputs!$C$26)*$B$7</f>
        <v>17200.0</v>
      </c>
      <c r="O57" s="46">
        <f>IF(O$13-Inputs!$C$4&lt;2,Inputs!$C$25,Inputs!$C$26)*$B$7</f>
        <v>17200.0</v>
      </c>
      <c r="P57" s="46">
        <f>IF(P$13-Inputs!$C$4&lt;2,Inputs!$C$25,Inputs!$C$26)*$B$7</f>
        <v>17200.0</v>
      </c>
      <c r="Q57" s="46">
        <f>IF(Q$13-Inputs!$C$4&lt;2,Inputs!$C$25,Inputs!$C$26)*$B$7</f>
        <v>17200.0</v>
      </c>
      <c r="R57" s="46">
        <f>IF(R$13-Inputs!$C$4&lt;2,Inputs!$C$25,Inputs!$C$26)*$B$7</f>
        <v>17200.0</v>
      </c>
      <c r="S57" s="46">
        <f>IF(S$13-Inputs!$C$4&lt;2,Inputs!$C$25,Inputs!$C$26)*$B$7</f>
        <v>17200.0</v>
      </c>
      <c r="T57" s="46">
        <f>IF(T$13-Inputs!$C$4&lt;2,Inputs!$C$25,Inputs!$C$26)*$B$7</f>
        <v>17200.0</v>
      </c>
      <c r="U57" s="46">
        <f>IF(U$13-Inputs!$C$4&lt;2,Inputs!$C$25,Inputs!$C$26)*$B$7</f>
        <v>17200.0</v>
      </c>
      <c r="V57" s="46">
        <f>IF(V$13-Inputs!$C$4&lt;2,Inputs!$C$25,Inputs!$C$26)*$B$7</f>
        <v>17200.0</v>
      </c>
      <c r="W57" s="46">
        <f>IF(W$13-Inputs!$C$4&lt;2,Inputs!$C$25,Inputs!$C$26)*$B$7</f>
        <v>17200.0</v>
      </c>
      <c r="X57" s="46">
        <f>IF(X$13-Inputs!$C$4&lt;2,Inputs!$C$25,Inputs!$C$26)*$B$7</f>
        <v>17200.0</v>
      </c>
      <c r="Y57" s="46">
        <f>IF(Y$13-Inputs!$C$4&lt;2,Inputs!$C$25,Inputs!$C$26)*$B$7</f>
        <v>17200.0</v>
      </c>
      <c r="Z57" s="46">
        <f>IF(Z$13-Inputs!$C$4&lt;2,Inputs!$C$25,Inputs!$C$26)*$B$7</f>
        <v>17200.0</v>
      </c>
      <c r="AA57" s="46">
        <f>IF(AA$13-Inputs!$C$4&lt;2,Inputs!$C$25,Inputs!$C$26)*$B$7</f>
        <v>17200.0</v>
      </c>
      <c r="AB57" s="46">
        <f>IF(AB$13-Inputs!$C$4&lt;2,Inputs!$C$25,Inputs!$C$26)*$B$7</f>
        <v>17200.0</v>
      </c>
      <c r="AC57" s="46">
        <f>IF(AC$13-Inputs!$C$4&lt;2,Inputs!$C$25,Inputs!$C$26)*$B$7</f>
        <v>17200.0</v>
      </c>
      <c r="AD57" s="46">
        <f>IF(AD$13-Inputs!$C$4&lt;2,Inputs!$C$25,Inputs!$C$26)*$B$7</f>
        <v>17200.0</v>
      </c>
      <c r="AE57" s="46">
        <f>IF(AE$13-Inputs!$C$4&lt;2,Inputs!$C$25,Inputs!$C$26)*$B$7</f>
        <v>17200.0</v>
      </c>
      <c r="AF57" s="47">
        <f>IF(AF$13-Inputs!$C$4&lt;2,Inputs!$C$25,Inputs!$C$26)*$B$7</f>
        <v>17200.0</v>
      </c>
    </row>
    <row r="58" spans="1:32" x14ac:dyDescent="0.25">
      <c r="A58" s="9" t="s">
        <v>75</v>
      </c>
      <c r="B58" s="46">
        <f>SUMPRODUCT(C58:AF58,$C$14:$AF$14)</f>
        <v>182947.706770603</v>
      </c>
      <c r="C58" s="46">
        <f>CHOOSE(MIN(C$13-Inputs!$C$4+1,4),Inputs!$C$28,Inputs!$C$29,Inputs!$C$30,Inputs!$C$31)*$B$7</f>
        <v>58157.5</v>
      </c>
      <c r="D58" s="46">
        <f>CHOOSE(MIN(D$13-Inputs!$C$4+1,4),Inputs!$C$28,Inputs!$C$29,Inputs!$C$30,Inputs!$C$31)*$B$7</f>
        <v>24123.0</v>
      </c>
      <c r="E58" s="46">
        <f>CHOOSE(MIN(E$13-Inputs!$C$4+1,4),Inputs!$C$28,Inputs!$C$29,Inputs!$C$30,Inputs!$C$31)*$B$7</f>
        <v>13975.0</v>
      </c>
      <c r="F58" s="46">
        <f>CHOOSE(MIN(F$13-Inputs!$C$4+1,4),Inputs!$C$28,Inputs!$C$29,Inputs!$C$30,Inputs!$C$31)*$B$7</f>
        <v>8600.0</v>
      </c>
      <c r="G58" s="46">
        <f>CHOOSE(MIN(G$13-Inputs!$C$4+1,4),Inputs!$C$28,Inputs!$C$29,Inputs!$C$30,Inputs!$C$31)*$B$7</f>
        <v>8600.0</v>
      </c>
      <c r="H58" s="46">
        <f>CHOOSE(MIN(H$13-Inputs!$C$4+1,4),Inputs!$C$28,Inputs!$C$29,Inputs!$C$30,Inputs!$C$31)*$B$7</f>
        <v>8600.0</v>
      </c>
      <c r="I58" s="46">
        <f>CHOOSE(MIN(I$13-Inputs!$C$4+1,4),Inputs!$C$28,Inputs!$C$29,Inputs!$C$30,Inputs!$C$31)*$B$7</f>
        <v>8600.0</v>
      </c>
      <c r="J58" s="46">
        <f>CHOOSE(MIN(J$13-Inputs!$C$4+1,4),Inputs!$C$28,Inputs!$C$29,Inputs!$C$30,Inputs!$C$31)*$B$7</f>
        <v>8600.0</v>
      </c>
      <c r="K58" s="46">
        <f>CHOOSE(MIN(K$13-Inputs!$C$4+1,4),Inputs!$C$28,Inputs!$C$29,Inputs!$C$30,Inputs!$C$31)*$B$7</f>
        <v>8600.0</v>
      </c>
      <c r="L58" s="46">
        <f>CHOOSE(MIN(L$13-Inputs!$C$4+1,4),Inputs!$C$28,Inputs!$C$29,Inputs!$C$30,Inputs!$C$31)*$B$7</f>
        <v>8600.0</v>
      </c>
      <c r="M58" s="46">
        <f>CHOOSE(MIN(M$13-Inputs!$C$4+1,4),Inputs!$C$28,Inputs!$C$29,Inputs!$C$30,Inputs!$C$31)*$B$7</f>
        <v>8600.0</v>
      </c>
      <c r="N58" s="46">
        <f>CHOOSE(MIN(N$13-Inputs!$C$4+1,4),Inputs!$C$28,Inputs!$C$29,Inputs!$C$30,Inputs!$C$31)*$B$7</f>
        <v>8600.0</v>
      </c>
      <c r="O58" s="46">
        <f>CHOOSE(MIN(O$13-Inputs!$C$4+1,4),Inputs!$C$28,Inputs!$C$29,Inputs!$C$30,Inputs!$C$31)*$B$7</f>
        <v>8600.0</v>
      </c>
      <c r="P58" s="46">
        <f>CHOOSE(MIN(P$13-Inputs!$C$4+1,4),Inputs!$C$28,Inputs!$C$29,Inputs!$C$30,Inputs!$C$31)*$B$7</f>
        <v>8600.0</v>
      </c>
      <c r="Q58" s="46">
        <f>CHOOSE(MIN(Q$13-Inputs!$C$4+1,4),Inputs!$C$28,Inputs!$C$29,Inputs!$C$30,Inputs!$C$31)*$B$7</f>
        <v>8600.0</v>
      </c>
      <c r="R58" s="46">
        <f>CHOOSE(MIN(R$13-Inputs!$C$4+1,4),Inputs!$C$28,Inputs!$C$29,Inputs!$C$30,Inputs!$C$31)*$B$7</f>
        <v>8600.0</v>
      </c>
      <c r="S58" s="46">
        <f>CHOOSE(MIN(S$13-Inputs!$C$4+1,4),Inputs!$C$28,Inputs!$C$29,Inputs!$C$30,Inputs!$C$31)*$B$7</f>
        <v>8600.0</v>
      </c>
      <c r="T58" s="46">
        <f>CHOOSE(MIN(T$13-Inputs!$C$4+1,4),Inputs!$C$28,Inputs!$C$29,Inputs!$C$30,Inputs!$C$31)*$B$7</f>
        <v>8600.0</v>
      </c>
      <c r="U58" s="46">
        <f>CHOOSE(MIN(U$13-Inputs!$C$4+1,4),Inputs!$C$28,Inputs!$C$29,Inputs!$C$30,Inputs!$C$31)*$B$7</f>
        <v>8600.0</v>
      </c>
      <c r="V58" s="46">
        <f>CHOOSE(MIN(V$13-Inputs!$C$4+1,4),Inputs!$C$28,Inputs!$C$29,Inputs!$C$30,Inputs!$C$31)*$B$7</f>
        <v>8600.0</v>
      </c>
      <c r="W58" s="46">
        <f>CHOOSE(MIN(W$13-Inputs!$C$4+1,4),Inputs!$C$28,Inputs!$C$29,Inputs!$C$30,Inputs!$C$31)*$B$7</f>
        <v>8600.0</v>
      </c>
      <c r="X58" s="46">
        <f>CHOOSE(MIN(X$13-Inputs!$C$4+1,4),Inputs!$C$28,Inputs!$C$29,Inputs!$C$30,Inputs!$C$31)*$B$7</f>
        <v>8600.0</v>
      </c>
      <c r="Y58" s="46">
        <f>CHOOSE(MIN(Y$13-Inputs!$C$4+1,4),Inputs!$C$28,Inputs!$C$29,Inputs!$C$30,Inputs!$C$31)*$B$7</f>
        <v>8600.0</v>
      </c>
      <c r="Z58" s="46">
        <f>CHOOSE(MIN(Z$13-Inputs!$C$4+1,4),Inputs!$C$28,Inputs!$C$29,Inputs!$C$30,Inputs!$C$31)*$B$7</f>
        <v>8600.0</v>
      </c>
      <c r="AA58" s="46">
        <f>CHOOSE(MIN(AA$13-Inputs!$C$4+1,4),Inputs!$C$28,Inputs!$C$29,Inputs!$C$30,Inputs!$C$31)*$B$7</f>
        <v>8600.0</v>
      </c>
      <c r="AB58" s="46">
        <f>CHOOSE(MIN(AB$13-Inputs!$C$4+1,4),Inputs!$C$28,Inputs!$C$29,Inputs!$C$30,Inputs!$C$31)*$B$7</f>
        <v>8600.0</v>
      </c>
      <c r="AC58" s="46">
        <f>CHOOSE(MIN(AC$13-Inputs!$C$4+1,4),Inputs!$C$28,Inputs!$C$29,Inputs!$C$30,Inputs!$C$31)*$B$7</f>
        <v>8600.0</v>
      </c>
      <c r="AD58" s="46">
        <f>CHOOSE(MIN(AD$13-Inputs!$C$4+1,4),Inputs!$C$28,Inputs!$C$29,Inputs!$C$30,Inputs!$C$31)*$B$7</f>
        <v>8600.0</v>
      </c>
      <c r="AE58" s="46">
        <f>CHOOSE(MIN(AE$13-Inputs!$C$4+1,4),Inputs!$C$28,Inputs!$C$29,Inputs!$C$30,Inputs!$C$31)*$B$7</f>
        <v>8600.0</v>
      </c>
      <c r="AF58" s="47">
        <f>CHOOSE(MIN(AF$13-Inputs!$C$4+1,4),Inputs!$C$28,Inputs!$C$29,Inputs!$C$30,Inputs!$C$31)*$B$7</f>
        <v>8600.0</v>
      </c>
    </row>
    <row r="59" spans="1:32" x14ac:dyDescent="0.25">
      <c r="A59" s="48" t="s">
        <v>70</v>
      </c>
      <c r="B59" s="49">
        <f>SUMPRODUCT(C59:AF59,$C$14:$AF$14)</f>
        <v>5992879.07810394</v>
      </c>
      <c r="C59" s="49">
        <f>SUM(C48:C58)</f>
        <v>4138218.5</v>
      </c>
      <c r="D59" s="49">
        <f>SUM(D48:D58)</f>
        <v>178923.0</v>
      </c>
      <c r="E59" s="49">
        <f>SUM(E48:E58)</f>
        <v>153725.0</v>
      </c>
      <c r="F59" s="49">
        <f>SUM(F48:F58)</f>
        <v>148350.0</v>
      </c>
      <c r="G59" s="49">
        <f>SUM(G48:G58)</f>
        <v>148350.0</v>
      </c>
      <c r="H59" s="49">
        <f>SUM(H48:H58)</f>
        <v>148350.0</v>
      </c>
      <c r="I59" s="49">
        <f>SUM(I48:I58)</f>
        <v>148350.0</v>
      </c>
      <c r="J59" s="49">
        <f>SUM(J48:J58)</f>
        <v>148350.0</v>
      </c>
      <c r="K59" s="49">
        <f>SUM(K48:K58)</f>
        <v>148350.0</v>
      </c>
      <c r="L59" s="49">
        <f>SUM(L48:L58)</f>
        <v>148350.0</v>
      </c>
      <c r="M59" s="49">
        <f>SUM(M48:M58)</f>
        <v>148350.0</v>
      </c>
      <c r="N59" s="49">
        <f>SUM(N48:N58)</f>
        <v>148350.0</v>
      </c>
      <c r="O59" s="49">
        <f>SUM(O48:O58)</f>
        <v>148350.0</v>
      </c>
      <c r="P59" s="49">
        <f>SUM(P48:P58)</f>
        <v>148350.0</v>
      </c>
      <c r="Q59" s="49">
        <f>SUM(Q48:Q58)</f>
        <v>148350.0</v>
      </c>
      <c r="R59" s="49">
        <f>SUM(R48:R58)</f>
        <v>148350.0</v>
      </c>
      <c r="S59" s="49">
        <f>SUM(S48:S58)</f>
        <v>148350.0</v>
      </c>
      <c r="T59" s="49">
        <f>SUM(T48:T58)</f>
        <v>148350.0</v>
      </c>
      <c r="U59" s="49">
        <f>SUM(U48:U58)</f>
        <v>148350.0</v>
      </c>
      <c r="V59" s="49">
        <f>SUM(V48:V58)</f>
        <v>148350.0</v>
      </c>
      <c r="W59" s="49">
        <f>SUM(W48:W58)</f>
        <v>148350.0</v>
      </c>
      <c r="X59" s="49">
        <f>SUM(X48:X58)</f>
        <v>148350.0</v>
      </c>
      <c r="Y59" s="49">
        <f>SUM(Y48:Y58)</f>
        <v>148350.0</v>
      </c>
      <c r="Z59" s="49">
        <f>SUM(Z48:Z58)</f>
        <v>148350.0</v>
      </c>
      <c r="AA59" s="49">
        <f>SUM(AA48:AA58)</f>
        <v>148350.0</v>
      </c>
      <c r="AB59" s="49">
        <f>SUM(AB48:AB58)</f>
        <v>148350.0</v>
      </c>
      <c r="AC59" s="49">
        <f>SUM(AC48:AC58)</f>
        <v>148350.0</v>
      </c>
      <c r="AD59" s="49">
        <f>SUM(AD48:AD58)</f>
        <v>148350.0</v>
      </c>
      <c r="AE59" s="49">
        <f>SUM(AE48:AE58)</f>
        <v>148350.0</v>
      </c>
      <c r="AF59" s="50">
        <f>SUM(AF48:AF58)</f>
        <v>148350.0</v>
      </c>
    </row>
    <row r="60" spans="1:32" x14ac:dyDescent="0.25">
      <c r="A60" s="9" t="s">
        <v>71</v>
      </c>
      <c r="B60" s="13"/>
      <c r="C60" s="51">
        <f>Inputs!$C$38*$B$7</f>
        <v>378.4</v>
      </c>
      <c r="D60" s="51">
        <f>Inputs!$C$38*$B$7</f>
        <v>378.4</v>
      </c>
      <c r="E60" s="51">
        <f>Inputs!$C$38*$B$7</f>
        <v>378.4</v>
      </c>
      <c r="F60" s="51">
        <f>Inputs!$C$38*$B$7</f>
        <v>378.4</v>
      </c>
      <c r="G60" s="51">
        <f>Inputs!$C$38*$B$7</f>
        <v>378.4</v>
      </c>
      <c r="H60" s="51">
        <f>Inputs!$C$38*$B$7</f>
        <v>378.4</v>
      </c>
      <c r="I60" s="51">
        <f>Inputs!$C$38*$B$7</f>
        <v>378.4</v>
      </c>
      <c r="J60" s="51">
        <f>Inputs!$C$38*$B$7</f>
        <v>378.4</v>
      </c>
      <c r="K60" s="51">
        <f>Inputs!$C$38*$B$7</f>
        <v>378.4</v>
      </c>
      <c r="L60" s="51">
        <f>Inputs!$C$38*$B$7</f>
        <v>378.4</v>
      </c>
      <c r="M60" s="51">
        <f>Inputs!$C$38*$B$7</f>
        <v>378.4</v>
      </c>
      <c r="N60" s="51">
        <f>Inputs!$C$38*$B$7</f>
        <v>378.4</v>
      </c>
      <c r="O60" s="51">
        <f>Inputs!$C$38*$B$7</f>
        <v>378.4</v>
      </c>
      <c r="P60" s="51">
        <f>Inputs!$C$38*$B$7</f>
        <v>378.4</v>
      </c>
      <c r="Q60" s="51">
        <f>Inputs!$C$38*$B$7</f>
        <v>378.4</v>
      </c>
      <c r="R60" s="51">
        <f>Inputs!$C$38*$B$7</f>
        <v>378.4</v>
      </c>
      <c r="S60" s="51">
        <f>Inputs!$C$38*$B$7</f>
        <v>378.4</v>
      </c>
      <c r="T60" s="51">
        <f>Inputs!$C$38*$B$7</f>
        <v>378.4</v>
      </c>
      <c r="U60" s="51">
        <f>Inputs!$C$38*$B$7</f>
        <v>378.4</v>
      </c>
      <c r="V60" s="51">
        <f>Inputs!$C$38*$B$7</f>
        <v>378.4</v>
      </c>
      <c r="W60" s="51">
        <f>Inputs!$C$38*$B$7</f>
        <v>378.4</v>
      </c>
      <c r="X60" s="51">
        <f>Inputs!$C$38*$B$7</f>
        <v>378.4</v>
      </c>
      <c r="Y60" s="51">
        <f>Inputs!$C$38*$B$7</f>
        <v>378.4</v>
      </c>
      <c r="Z60" s="51">
        <f>Inputs!$C$38*$B$7</f>
        <v>378.4</v>
      </c>
      <c r="AA60" s="51">
        <f>Inputs!$C$38*$B$7</f>
        <v>378.4</v>
      </c>
      <c r="AB60" s="51">
        <f>Inputs!$C$38*$B$7</f>
        <v>378.4</v>
      </c>
      <c r="AC60" s="51">
        <f>Inputs!$C$38*$B$7</f>
        <v>378.4</v>
      </c>
      <c r="AD60" s="51">
        <f>Inputs!$C$38*$B$7</f>
        <v>378.4</v>
      </c>
      <c r="AE60" s="51">
        <f>Inputs!$C$38*$B$7</f>
        <v>378.4</v>
      </c>
      <c r="AF60" s="52">
        <f>Inputs!$C$38*$B$7</f>
        <v>378.4</v>
      </c>
    </row>
    <row r="61" spans="1:32" x14ac:dyDescent="0.25">
      <c r="A61" s="9" t="s">
        <v>72</v>
      </c>
      <c r="B61" s="46">
        <f>SUMPRODUCT(C61:AF61,$C$14:$AF$14)</f>
        <v>8647334.35988732</v>
      </c>
      <c r="C61" s="46">
        <f>C60*$B$10</f>
        <v>651268.7626368</v>
      </c>
      <c r="D61" s="46">
        <f>D60*$B$10</f>
        <v>651268.7626368</v>
      </c>
      <c r="E61" s="46">
        <f>E60*$B$10</f>
        <v>651268.7626368</v>
      </c>
      <c r="F61" s="46">
        <f>F60*$B$10</f>
        <v>651268.7626368</v>
      </c>
      <c r="G61" s="46">
        <f>G60*$B$10</f>
        <v>651268.7626368</v>
      </c>
      <c r="H61" s="46">
        <f>H60*$B$10</f>
        <v>651268.7626368</v>
      </c>
      <c r="I61" s="46">
        <f>I60*$B$10</f>
        <v>651268.7626368</v>
      </c>
      <c r="J61" s="46">
        <f>J60*$B$10</f>
        <v>651268.7626368</v>
      </c>
      <c r="K61" s="46">
        <f>K60*$B$10</f>
        <v>651268.7626368</v>
      </c>
      <c r="L61" s="46">
        <f>L60*$B$10</f>
        <v>651268.7626368</v>
      </c>
      <c r="M61" s="46">
        <f>M60*$B$10</f>
        <v>651268.7626368</v>
      </c>
      <c r="N61" s="46">
        <f>N60*$B$10</f>
        <v>651268.7626368</v>
      </c>
      <c r="O61" s="46">
        <f>O60*$B$10</f>
        <v>651268.7626368</v>
      </c>
      <c r="P61" s="46">
        <f>P60*$B$10</f>
        <v>651268.7626368</v>
      </c>
      <c r="Q61" s="46">
        <f>Q60*$B$10</f>
        <v>651268.7626368</v>
      </c>
      <c r="R61" s="46">
        <f>R60*$B$10</f>
        <v>651268.7626368</v>
      </c>
      <c r="S61" s="46">
        <f>S60*$B$10</f>
        <v>651268.7626368</v>
      </c>
      <c r="T61" s="46">
        <f>T60*$B$10</f>
        <v>651268.7626368</v>
      </c>
      <c r="U61" s="46">
        <f>U60*$B$10</f>
        <v>651268.7626368</v>
      </c>
      <c r="V61" s="46">
        <f>V60*$B$10</f>
        <v>651268.7626368</v>
      </c>
      <c r="W61" s="46">
        <f>W60*$B$10</f>
        <v>651268.7626368</v>
      </c>
      <c r="X61" s="46">
        <f>X60*$B$10</f>
        <v>651268.7626368</v>
      </c>
      <c r="Y61" s="46">
        <f>Y60*$B$10</f>
        <v>651268.7626368</v>
      </c>
      <c r="Z61" s="46">
        <f>Z60*$B$10</f>
        <v>651268.7626368</v>
      </c>
      <c r="AA61" s="46">
        <f>AA60*$B$10</f>
        <v>651268.7626368</v>
      </c>
      <c r="AB61" s="46">
        <f>AB60*$B$10</f>
        <v>651268.7626368</v>
      </c>
      <c r="AC61" s="46">
        <f>AC60*$B$10</f>
        <v>651268.7626368</v>
      </c>
      <c r="AD61" s="46">
        <f>AD60*$B$10</f>
        <v>651268.7626368</v>
      </c>
      <c r="AE61" s="46">
        <f>AE60*$B$10</f>
        <v>651268.7626368</v>
      </c>
      <c r="AF61" s="47">
        <f>AF60*$B$10</f>
        <v>651268.7626368</v>
      </c>
    </row>
    <row r="62" spans="1:32" x14ac:dyDescent="0.25">
      <c r="A62" s="48" t="s">
        <v>73</v>
      </c>
      <c r="B62" s="49">
        <f>SUMPRODUCT(C62:AF62,$C$14:$AF$14)</f>
        <v>14640213.4379913</v>
      </c>
      <c r="C62" s="49">
        <f>C59+C61</f>
        <v>4789487.2626368</v>
      </c>
      <c r="D62" s="49">
        <f>D59+D61</f>
        <v>830191.7626368</v>
      </c>
      <c r="E62" s="49">
        <f>E59+E61</f>
        <v>804993.7626368</v>
      </c>
      <c r="F62" s="49">
        <f>F59+F61</f>
        <v>799618.7626368</v>
      </c>
      <c r="G62" s="49">
        <f>G59+G61</f>
        <v>799618.7626368</v>
      </c>
      <c r="H62" s="49">
        <f>H59+H61</f>
        <v>799618.7626368</v>
      </c>
      <c r="I62" s="49">
        <f>I59+I61</f>
        <v>799618.7626368</v>
      </c>
      <c r="J62" s="49">
        <f>J59+J61</f>
        <v>799618.7626368</v>
      </c>
      <c r="K62" s="49">
        <f>K59+K61</f>
        <v>799618.7626368</v>
      </c>
      <c r="L62" s="49">
        <f>L59+L61</f>
        <v>799618.7626368</v>
      </c>
      <c r="M62" s="49">
        <f>M59+M61</f>
        <v>799618.7626368</v>
      </c>
      <c r="N62" s="49">
        <f>N59+N61</f>
        <v>799618.7626368</v>
      </c>
      <c r="O62" s="49">
        <f>O59+O61</f>
        <v>799618.7626368</v>
      </c>
      <c r="P62" s="49">
        <f>P59+P61</f>
        <v>799618.7626368</v>
      </c>
      <c r="Q62" s="49">
        <f>Q59+Q61</f>
        <v>799618.7626368</v>
      </c>
      <c r="R62" s="49">
        <f>R59+R61</f>
        <v>799618.7626368</v>
      </c>
      <c r="S62" s="49">
        <f>S59+S61</f>
        <v>799618.7626368</v>
      </c>
      <c r="T62" s="49">
        <f>T59+T61</f>
        <v>799618.7626368</v>
      </c>
      <c r="U62" s="49">
        <f>U59+U61</f>
        <v>799618.7626368</v>
      </c>
      <c r="V62" s="49">
        <f>V59+V61</f>
        <v>799618.7626368</v>
      </c>
      <c r="W62" s="49">
        <f>W59+W61</f>
        <v>799618.7626368</v>
      </c>
      <c r="X62" s="49">
        <f>X59+X61</f>
        <v>799618.7626368</v>
      </c>
      <c r="Y62" s="49">
        <f>Y59+Y61</f>
        <v>799618.7626368</v>
      </c>
      <c r="Z62" s="49">
        <f>Z59+Z61</f>
        <v>799618.7626368</v>
      </c>
      <c r="AA62" s="49">
        <f>AA59+AA61</f>
        <v>799618.7626368</v>
      </c>
      <c r="AB62" s="49">
        <f>AB59+AB61</f>
        <v>799618.7626368</v>
      </c>
      <c r="AC62" s="49">
        <f>AC59+AC61</f>
        <v>799618.7626368</v>
      </c>
      <c r="AD62" s="49">
        <f>AD59+AD61</f>
        <v>799618.7626368</v>
      </c>
      <c r="AE62" s="49">
        <f>AE59+AE61</f>
        <v>799618.7626368</v>
      </c>
      <c r="AF62" s="50">
        <f>AF59+AF61</f>
        <v>799618.7626368</v>
      </c>
    </row>
    <row r="63" spans="1:32" ht="15.75" thickBot="1" x14ac:dyDescent="0.3">
      <c r="A63" s="28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53"/>
    </row>
    <row r="64" spans="1:32" x14ac:dyDescent="0.25">
      <c r="A64" s="31"/>
      <c r="B64" s="44"/>
      <c r="C64" s="44"/>
      <c r="D64" s="44"/>
      <c r="E64" s="45"/>
    </row>
    <row r="65" spans="1:5" ht="15.75" x14ac:dyDescent="0.25">
      <c r="A65" s="54" t="s">
        <v>114</v>
      </c>
      <c r="B65" s="13"/>
      <c r="C65" s="13"/>
      <c r="D65" s="13"/>
      <c r="E65" s="14"/>
    </row>
    <row r="66" spans="1:5" x14ac:dyDescent="0.25">
      <c r="A66" s="16" t="s">
        <v>87</v>
      </c>
      <c r="B66" s="55" t="s">
        <v>88</v>
      </c>
      <c r="C66" s="55" t="s">
        <v>89</v>
      </c>
      <c r="D66" s="55" t="s">
        <v>90</v>
      </c>
      <c r="E66" s="56" t="s">
        <v>91</v>
      </c>
    </row>
    <row r="67" spans="1:5" x14ac:dyDescent="0.25">
      <c r="A67" s="9" t="s">
        <v>92</v>
      </c>
      <c r="B67" s="57">
        <f>$B$19</f>
        <v>5639506.17224577</v>
      </c>
      <c r="C67" s="57">
        <f>$B$29</f>
        <v>4388093.44184463</v>
      </c>
      <c r="D67" s="57">
        <f>$B$42</f>
        <v>5538668.44184463</v>
      </c>
      <c r="E67" s="58">
        <f>$B$59</f>
        <v>5992879.07810394</v>
      </c>
    </row>
    <row r="68" spans="1:5" x14ac:dyDescent="0.25">
      <c r="A68" s="9" t="s">
        <v>93</v>
      </c>
      <c r="B68" s="57">
        <f>$B$22</f>
        <v>32809823.7916644</v>
      </c>
      <c r="C68" s="57">
        <f>$B$32</f>
        <v>27234743.8813196</v>
      </c>
      <c r="D68" s="57">
        <f>$B$45</f>
        <v>21113696.8059599</v>
      </c>
      <c r="E68" s="58">
        <f>$B$62</f>
        <v>14640213.4379913</v>
      </c>
    </row>
    <row r="69" spans="1:5" x14ac:dyDescent="0.25">
      <c r="A69" s="9"/>
      <c r="B69" s="13"/>
      <c r="C69" s="13"/>
      <c r="D69" s="13"/>
      <c r="E69" s="14"/>
    </row>
    <row r="70" spans="1:5" x14ac:dyDescent="0.25">
      <c r="A70" s="48" t="s">
        <v>94</v>
      </c>
      <c r="B70" s="59"/>
      <c r="C70" s="59"/>
      <c r="D70" s="59"/>
      <c r="E70" s="60"/>
    </row>
    <row r="71" spans="1:5" x14ac:dyDescent="0.25">
      <c r="A71" s="9" t="s">
        <v>111</v>
      </c>
      <c r="B71" s="61" t="s">
        <v>95</v>
      </c>
      <c r="C71" s="62">
        <f>C67-$B$67</f>
        <v>-1251412.73040114</v>
      </c>
      <c r="D71" s="62">
        <f>D67-$B$67</f>
        <v>-100837.730401138</v>
      </c>
      <c r="E71" s="63">
        <f>E67-$B$67</f>
        <v>353372.90585817</v>
      </c>
    </row>
    <row r="72" spans="1:5" x14ac:dyDescent="0.25">
      <c r="A72" s="9" t="s">
        <v>96</v>
      </c>
      <c r="B72" s="61" t="s">
        <v>95</v>
      </c>
      <c r="C72" s="62">
        <f>$B$21-$B$31</f>
        <v>4323667.17994366</v>
      </c>
      <c r="D72" s="62">
        <f>$B$21-$B$44</f>
        <v>11595289.2553035</v>
      </c>
      <c r="E72" s="63">
        <f>$B$21-$B$61</f>
        <v>18522983.2595314</v>
      </c>
    </row>
    <row r="73" spans="1:5" x14ac:dyDescent="0.25">
      <c r="A73" s="64"/>
      <c r="B73" s="59"/>
      <c r="C73" s="59"/>
      <c r="D73" s="59"/>
      <c r="E73" s="60"/>
    </row>
    <row r="74" spans="1:5" x14ac:dyDescent="0.25">
      <c r="A74" s="48" t="s">
        <v>97</v>
      </c>
      <c r="B74" s="61" t="s">
        <v>95</v>
      </c>
      <c r="C74" s="65">
        <f>-C71</f>
        <v>1251412.73040114</v>
      </c>
      <c r="D74" s="65">
        <f>-D71</f>
        <v>100837.730401138</v>
      </c>
      <c r="E74" s="66">
        <f>-E71</f>
        <v>-353372.90585817</v>
      </c>
    </row>
    <row r="75" spans="1:5" x14ac:dyDescent="0.25">
      <c r="A75" s="67" t="s">
        <v>113</v>
      </c>
      <c r="B75" s="61" t="s">
        <v>95</v>
      </c>
      <c r="C75" s="65">
        <f>$B$68-C68</f>
        <v>5575079.9103448</v>
      </c>
      <c r="D75" s="65">
        <f>$B$68-D68</f>
        <v>11696126.9857046</v>
      </c>
      <c r="E75" s="66">
        <f>$B$68-E68</f>
        <v>18169610.3536732</v>
      </c>
    </row>
    <row r="76" spans="1:5" x14ac:dyDescent="0.25">
      <c r="A76" s="64"/>
      <c r="B76" s="59"/>
      <c r="C76" s="59"/>
      <c r="D76" s="59"/>
      <c r="E76" s="60"/>
    </row>
    <row r="77" spans="1:5" x14ac:dyDescent="0.25">
      <c r="A77" s="68" t="s">
        <v>106</v>
      </c>
      <c r="B77" s="59"/>
      <c r="C77" s="59"/>
      <c r="D77" s="59"/>
      <c r="E77" s="60"/>
    </row>
    <row r="78" spans="1:5" x14ac:dyDescent="0.25">
      <c r="A78" s="64" t="s">
        <v>107</v>
      </c>
      <c r="B78" s="61" t="s">
        <v>95</v>
      </c>
      <c r="C78" s="69">
        <f>SUM($C$20:$AF$20)-SUM($C$30:$AF$30)</f>
        <v>5676.0</v>
      </c>
      <c r="D78" s="69">
        <f>SUM($C$20:$AF$20)-SUM($C$43:$AF$43)</f>
        <v>15222.0</v>
      </c>
      <c r="E78" s="70">
        <f>SUM($C$20:$AF$20)-SUM($C$60:$AF$60)</f>
        <v>24316.5</v>
      </c>
    </row>
    <row r="79" spans="1:5" x14ac:dyDescent="0.25">
      <c r="A79" s="67" t="s">
        <v>112</v>
      </c>
      <c r="B79" s="61" t="s">
        <v>95</v>
      </c>
      <c r="C79" s="71">
        <f>C71/C78</f>
        <v>-220.474406342695</v>
      </c>
      <c r="D79" s="71">
        <f>D71/D78</f>
        <v>-6.62447315734712</v>
      </c>
      <c r="E79" s="72">
        <f>E71/E78</f>
        <v>14.5322273295158</v>
      </c>
    </row>
    <row r="80" spans="1:5" ht="15.75" thickBot="1" x14ac:dyDescent="0.3">
      <c r="A80" s="73"/>
      <c r="B80" s="74"/>
      <c r="C80" s="75"/>
      <c r="D80" s="75"/>
      <c r="E80" s="76"/>
    </row>
    <row r="81" spans="1:5" x14ac:dyDescent="0.25">
      <c r="A81"/>
      <c r="B81"/>
      <c r="C81"/>
      <c r="D81"/>
      <c r="E81"/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B8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Doshi</dc:creator>
  <cp:lastModifiedBy>Ammarr Aripin</cp:lastModifiedBy>
  <dcterms:created xsi:type="dcterms:W3CDTF">2026-09-20T03:20:33Z</dcterms:created>
  <dcterms:modified xsi:type="dcterms:W3CDTF">2026-09-23T00:59:43Z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2026-09-23T00:29:59Z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999d29d4-1e16-40ce-9613-e637f8822010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